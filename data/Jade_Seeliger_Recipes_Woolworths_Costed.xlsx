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abrinastrauss/Downloads/"/>
    </mc:Choice>
  </mc:AlternateContent>
  <xr:revisionPtr revIDLastSave="0" documentId="11_ABDB2C31941B13CC9D5780B76B9AB6FDEB3E7FDD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Recipe Costs" sheetId="1" r:id="rId1"/>
    <sheet name="Recipes" sheetId="2" r:id="rId2"/>
    <sheet name="Ingredient Costing" sheetId="3" r:id="rId3"/>
    <sheet name="Woolworths Products" sheetId="4" r:id="rId4"/>
    <sheet name="Notes &amp; Assumptions" sheetId="5" r:id="rId5"/>
    <sheet name="Ingredient list" sheetId="6" r:id="rId6"/>
    <sheet name="Not included" sheetId="7" r:id="rId7"/>
  </sheets>
  <definedNames>
    <definedName name="_xlnm._FilterDatabase" localSheetId="2" hidden="1">'Ingredient Costing'!$A$1:$N$559</definedName>
    <definedName name="_xlnm._FilterDatabase" localSheetId="5" hidden="1">'Ingredient list'!$A$1:$D$536</definedName>
    <definedName name="_xlnm._FilterDatabase" localSheetId="0" hidden="1">'Recipe Costs'!$A$1:$J$68</definedName>
    <definedName name="_xlnm._FilterDatabase" localSheetId="1" hidden="1">Recipes!$A$1:$I$68</definedName>
    <definedName name="_xlnm._FilterDatabase" localSheetId="3" hidden="1">'Woolworths Products'!$A$1:$K$208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8" i="4" l="1"/>
  <c r="E208" i="4"/>
  <c r="H208" i="4" s="1"/>
  <c r="I207" i="4"/>
  <c r="E207" i="4"/>
  <c r="H207" i="4" s="1"/>
  <c r="I206" i="4"/>
  <c r="E206" i="4"/>
  <c r="H206" i="4" s="1"/>
  <c r="I205" i="4"/>
  <c r="E205" i="4"/>
  <c r="H205" i="4" s="1"/>
  <c r="I204" i="4"/>
  <c r="E204" i="4"/>
  <c r="H204" i="4" s="1"/>
  <c r="I203" i="4"/>
  <c r="E203" i="4"/>
  <c r="H203" i="4" s="1"/>
  <c r="I202" i="4"/>
  <c r="E202" i="4"/>
  <c r="H202" i="4" s="1"/>
  <c r="I201" i="4"/>
  <c r="E201" i="4"/>
  <c r="H201" i="4" s="1"/>
  <c r="I200" i="4"/>
  <c r="E200" i="4"/>
  <c r="H200" i="4" s="1"/>
  <c r="I199" i="4"/>
  <c r="E199" i="4"/>
  <c r="H199" i="4" s="1"/>
  <c r="I198" i="4"/>
  <c r="E198" i="4"/>
  <c r="H198" i="4" s="1"/>
  <c r="I197" i="4"/>
  <c r="E197" i="4"/>
  <c r="H197" i="4" s="1"/>
  <c r="I196" i="4"/>
  <c r="E196" i="4"/>
  <c r="H196" i="4" s="1"/>
  <c r="I195" i="4"/>
  <c r="E195" i="4"/>
  <c r="H195" i="4" s="1"/>
  <c r="I194" i="4"/>
  <c r="E194" i="4"/>
  <c r="H194" i="4" s="1"/>
  <c r="I193" i="4"/>
  <c r="E193" i="4"/>
  <c r="H193" i="4" s="1"/>
  <c r="I192" i="4"/>
  <c r="E192" i="4"/>
  <c r="H192" i="4" s="1"/>
  <c r="I191" i="4"/>
  <c r="E191" i="4"/>
  <c r="H191" i="4" s="1"/>
  <c r="I190" i="4"/>
  <c r="E190" i="4"/>
  <c r="H190" i="4" s="1"/>
  <c r="I189" i="4"/>
  <c r="E189" i="4"/>
  <c r="H189" i="4" s="1"/>
  <c r="I188" i="4"/>
  <c r="E188" i="4"/>
  <c r="H188" i="4" s="1"/>
  <c r="I187" i="4"/>
  <c r="E187" i="4"/>
  <c r="H187" i="4" s="1"/>
  <c r="I186" i="4"/>
  <c r="E186" i="4"/>
  <c r="H186" i="4" s="1"/>
  <c r="I185" i="4"/>
  <c r="E185" i="4"/>
  <c r="H185" i="4" s="1"/>
  <c r="I184" i="4"/>
  <c r="E184" i="4"/>
  <c r="H184" i="4" s="1"/>
  <c r="I183" i="4"/>
  <c r="E183" i="4"/>
  <c r="H183" i="4" s="1"/>
  <c r="I182" i="4"/>
  <c r="E182" i="4"/>
  <c r="H182" i="4" s="1"/>
  <c r="I181" i="4"/>
  <c r="E181" i="4"/>
  <c r="H181" i="4" s="1"/>
  <c r="I180" i="4"/>
  <c r="E180" i="4"/>
  <c r="H180" i="4" s="1"/>
  <c r="I179" i="4"/>
  <c r="E179" i="4"/>
  <c r="H179" i="4" s="1"/>
  <c r="I178" i="4"/>
  <c r="E178" i="4"/>
  <c r="H178" i="4" s="1"/>
  <c r="I177" i="4"/>
  <c r="E177" i="4"/>
  <c r="H177" i="4" s="1"/>
  <c r="I176" i="4"/>
  <c r="E176" i="4"/>
  <c r="H176" i="4" s="1"/>
  <c r="I175" i="4"/>
  <c r="E175" i="4"/>
  <c r="H175" i="4" s="1"/>
  <c r="I174" i="4"/>
  <c r="E174" i="4"/>
  <c r="H174" i="4" s="1"/>
  <c r="I173" i="4"/>
  <c r="E173" i="4"/>
  <c r="H173" i="4" s="1"/>
  <c r="I172" i="4"/>
  <c r="E172" i="4"/>
  <c r="H172" i="4" s="1"/>
  <c r="I171" i="4"/>
  <c r="E171" i="4"/>
  <c r="H171" i="4" s="1"/>
  <c r="I170" i="4"/>
  <c r="E170" i="4"/>
  <c r="H170" i="4" s="1"/>
  <c r="I169" i="4"/>
  <c r="E169" i="4"/>
  <c r="H169" i="4" s="1"/>
  <c r="I168" i="4"/>
  <c r="E168" i="4"/>
  <c r="H168" i="4" s="1"/>
  <c r="I167" i="4"/>
  <c r="E167" i="4"/>
  <c r="H167" i="4" s="1"/>
  <c r="I166" i="4"/>
  <c r="E166" i="4"/>
  <c r="H166" i="4" s="1"/>
  <c r="I165" i="4"/>
  <c r="E165" i="4"/>
  <c r="H165" i="4" s="1"/>
  <c r="I164" i="4"/>
  <c r="E164" i="4"/>
  <c r="H164" i="4" s="1"/>
  <c r="I163" i="4"/>
  <c r="E163" i="4"/>
  <c r="H163" i="4" s="1"/>
  <c r="I162" i="4"/>
  <c r="E162" i="4"/>
  <c r="H162" i="4" s="1"/>
  <c r="I161" i="4"/>
  <c r="E161" i="4"/>
  <c r="H161" i="4" s="1"/>
  <c r="I160" i="4"/>
  <c r="E160" i="4"/>
  <c r="H160" i="4" s="1"/>
  <c r="I159" i="4"/>
  <c r="E159" i="4"/>
  <c r="H159" i="4" s="1"/>
  <c r="I158" i="4"/>
  <c r="E158" i="4"/>
  <c r="H158" i="4" s="1"/>
  <c r="I157" i="4"/>
  <c r="E157" i="4"/>
  <c r="H157" i="4" s="1"/>
  <c r="I156" i="4"/>
  <c r="E156" i="4"/>
  <c r="H156" i="4" s="1"/>
  <c r="I155" i="4"/>
  <c r="E155" i="4"/>
  <c r="H155" i="4" s="1"/>
  <c r="I154" i="4"/>
  <c r="E154" i="4"/>
  <c r="H154" i="4" s="1"/>
  <c r="I153" i="4"/>
  <c r="E153" i="4"/>
  <c r="H153" i="4" s="1"/>
  <c r="I152" i="4"/>
  <c r="E152" i="4"/>
  <c r="H152" i="4" s="1"/>
  <c r="I151" i="4"/>
  <c r="E151" i="4"/>
  <c r="H151" i="4" s="1"/>
  <c r="I150" i="4"/>
  <c r="E150" i="4"/>
  <c r="H150" i="4" s="1"/>
  <c r="I149" i="4"/>
  <c r="E149" i="4"/>
  <c r="H149" i="4" s="1"/>
  <c r="I148" i="4"/>
  <c r="E148" i="4"/>
  <c r="H148" i="4" s="1"/>
  <c r="I147" i="4"/>
  <c r="E147" i="4"/>
  <c r="H147" i="4" s="1"/>
  <c r="I146" i="4"/>
  <c r="E146" i="4"/>
  <c r="H146" i="4" s="1"/>
  <c r="I145" i="4"/>
  <c r="E145" i="4"/>
  <c r="H145" i="4" s="1"/>
  <c r="I144" i="4"/>
  <c r="E144" i="4"/>
  <c r="H144" i="4" s="1"/>
  <c r="I143" i="4"/>
  <c r="E143" i="4"/>
  <c r="H143" i="4" s="1"/>
  <c r="I142" i="4"/>
  <c r="E142" i="4"/>
  <c r="H142" i="4" s="1"/>
  <c r="I141" i="4"/>
  <c r="E141" i="4"/>
  <c r="H141" i="4" s="1"/>
  <c r="I140" i="4"/>
  <c r="E140" i="4"/>
  <c r="H140" i="4" s="1"/>
  <c r="I139" i="4"/>
  <c r="E139" i="4"/>
  <c r="H139" i="4" s="1"/>
  <c r="I138" i="4"/>
  <c r="E138" i="4"/>
  <c r="H138" i="4" s="1"/>
  <c r="I137" i="4"/>
  <c r="E137" i="4"/>
  <c r="H137" i="4" s="1"/>
  <c r="I136" i="4"/>
  <c r="E136" i="4"/>
  <c r="H136" i="4" s="1"/>
  <c r="I135" i="4"/>
  <c r="E135" i="4"/>
  <c r="H135" i="4" s="1"/>
  <c r="I134" i="4"/>
  <c r="E134" i="4"/>
  <c r="H134" i="4" s="1"/>
  <c r="I133" i="4"/>
  <c r="E133" i="4"/>
  <c r="H133" i="4" s="1"/>
  <c r="I132" i="4"/>
  <c r="E132" i="4"/>
  <c r="H132" i="4" s="1"/>
  <c r="I131" i="4"/>
  <c r="E131" i="4"/>
  <c r="H131" i="4" s="1"/>
  <c r="I130" i="4"/>
  <c r="E130" i="4"/>
  <c r="H130" i="4" s="1"/>
  <c r="I129" i="4"/>
  <c r="E129" i="4"/>
  <c r="H129" i="4" s="1"/>
  <c r="I128" i="4"/>
  <c r="E128" i="4"/>
  <c r="H128" i="4" s="1"/>
  <c r="I127" i="4"/>
  <c r="E127" i="4"/>
  <c r="H127" i="4" s="1"/>
  <c r="I126" i="4"/>
  <c r="E126" i="4"/>
  <c r="H126" i="4" s="1"/>
  <c r="I125" i="4"/>
  <c r="E125" i="4"/>
  <c r="H125" i="4" s="1"/>
  <c r="I124" i="4"/>
  <c r="E124" i="4"/>
  <c r="H124" i="4" s="1"/>
  <c r="I123" i="4"/>
  <c r="E123" i="4"/>
  <c r="H123" i="4" s="1"/>
  <c r="I122" i="4"/>
  <c r="E122" i="4"/>
  <c r="H122" i="4" s="1"/>
  <c r="I121" i="4"/>
  <c r="E121" i="4"/>
  <c r="H121" i="4" s="1"/>
  <c r="I120" i="4"/>
  <c r="E120" i="4"/>
  <c r="H120" i="4" s="1"/>
  <c r="I119" i="4"/>
  <c r="E119" i="4"/>
  <c r="H119" i="4" s="1"/>
  <c r="I118" i="4"/>
  <c r="E118" i="4"/>
  <c r="H118" i="4" s="1"/>
  <c r="I117" i="4"/>
  <c r="E117" i="4"/>
  <c r="H117" i="4" s="1"/>
  <c r="I116" i="4"/>
  <c r="E116" i="4"/>
  <c r="H116" i="4" s="1"/>
  <c r="I115" i="4"/>
  <c r="E115" i="4"/>
  <c r="H115" i="4" s="1"/>
  <c r="I114" i="4"/>
  <c r="E114" i="4"/>
  <c r="H114" i="4" s="1"/>
  <c r="I113" i="4"/>
  <c r="E113" i="4"/>
  <c r="H113" i="4" s="1"/>
  <c r="I112" i="4"/>
  <c r="E112" i="4"/>
  <c r="H112" i="4" s="1"/>
  <c r="I111" i="4"/>
  <c r="E111" i="4"/>
  <c r="H111" i="4" s="1"/>
  <c r="I110" i="4"/>
  <c r="E110" i="4"/>
  <c r="H110" i="4" s="1"/>
  <c r="I109" i="4"/>
  <c r="E109" i="4"/>
  <c r="H109" i="4" s="1"/>
  <c r="I108" i="4"/>
  <c r="E108" i="4"/>
  <c r="H108" i="4" s="1"/>
  <c r="I107" i="4"/>
  <c r="E107" i="4"/>
  <c r="H107" i="4" s="1"/>
  <c r="I106" i="4"/>
  <c r="E106" i="4"/>
  <c r="H106" i="4" s="1"/>
  <c r="I105" i="4"/>
  <c r="E105" i="4"/>
  <c r="H105" i="4" s="1"/>
  <c r="I104" i="4"/>
  <c r="E104" i="4"/>
  <c r="H104" i="4" s="1"/>
  <c r="I103" i="4"/>
  <c r="E103" i="4"/>
  <c r="H103" i="4" s="1"/>
  <c r="I102" i="4"/>
  <c r="E102" i="4"/>
  <c r="H102" i="4" s="1"/>
  <c r="I101" i="4"/>
  <c r="E101" i="4"/>
  <c r="H101" i="4" s="1"/>
  <c r="I100" i="4"/>
  <c r="E100" i="4"/>
  <c r="H100" i="4" s="1"/>
  <c r="I99" i="4"/>
  <c r="E99" i="4"/>
  <c r="H99" i="4" s="1"/>
  <c r="I98" i="4"/>
  <c r="E98" i="4"/>
  <c r="H98" i="4" s="1"/>
  <c r="I97" i="4"/>
  <c r="E97" i="4"/>
  <c r="H97" i="4" s="1"/>
  <c r="I96" i="4"/>
  <c r="E96" i="4"/>
  <c r="H96" i="4" s="1"/>
  <c r="I95" i="4"/>
  <c r="E95" i="4"/>
  <c r="H95" i="4" s="1"/>
  <c r="I94" i="4"/>
  <c r="E94" i="4"/>
  <c r="H94" i="4" s="1"/>
  <c r="I93" i="4"/>
  <c r="E93" i="4"/>
  <c r="H93" i="4" s="1"/>
  <c r="I92" i="4"/>
  <c r="E92" i="4"/>
  <c r="H92" i="4" s="1"/>
  <c r="I91" i="4"/>
  <c r="E91" i="4"/>
  <c r="H91" i="4" s="1"/>
  <c r="I90" i="4"/>
  <c r="E90" i="4"/>
  <c r="H90" i="4" s="1"/>
  <c r="I89" i="4"/>
  <c r="E89" i="4"/>
  <c r="H89" i="4" s="1"/>
  <c r="I88" i="4"/>
  <c r="E88" i="4"/>
  <c r="H88" i="4" s="1"/>
  <c r="I87" i="4"/>
  <c r="E87" i="4"/>
  <c r="H87" i="4" s="1"/>
  <c r="I86" i="4"/>
  <c r="E86" i="4"/>
  <c r="H86" i="4" s="1"/>
  <c r="I85" i="4"/>
  <c r="E85" i="4"/>
  <c r="H85" i="4" s="1"/>
  <c r="I84" i="4"/>
  <c r="E84" i="4"/>
  <c r="H84" i="4" s="1"/>
  <c r="I83" i="4"/>
  <c r="E83" i="4"/>
  <c r="H83" i="4" s="1"/>
  <c r="I82" i="4"/>
  <c r="E82" i="4"/>
  <c r="H82" i="4" s="1"/>
  <c r="I81" i="4"/>
  <c r="E81" i="4"/>
  <c r="H81" i="4" s="1"/>
  <c r="I80" i="4"/>
  <c r="E80" i="4"/>
  <c r="H80" i="4" s="1"/>
  <c r="I79" i="4"/>
  <c r="E79" i="4"/>
  <c r="H79" i="4" s="1"/>
  <c r="I78" i="4"/>
  <c r="E78" i="4"/>
  <c r="H78" i="4" s="1"/>
  <c r="I77" i="4"/>
  <c r="E77" i="4"/>
  <c r="H77" i="4" s="1"/>
  <c r="I76" i="4"/>
  <c r="E76" i="4"/>
  <c r="H76" i="4" s="1"/>
  <c r="I75" i="4"/>
  <c r="E75" i="4"/>
  <c r="H75" i="4" s="1"/>
  <c r="I74" i="4"/>
  <c r="E74" i="4"/>
  <c r="H74" i="4" s="1"/>
  <c r="I73" i="4"/>
  <c r="E73" i="4"/>
  <c r="H73" i="4" s="1"/>
  <c r="I72" i="4"/>
  <c r="E72" i="4"/>
  <c r="H72" i="4" s="1"/>
  <c r="I71" i="4"/>
  <c r="E71" i="4"/>
  <c r="H71" i="4" s="1"/>
  <c r="I70" i="4"/>
  <c r="E70" i="4"/>
  <c r="H70" i="4" s="1"/>
  <c r="I69" i="4"/>
  <c r="E69" i="4"/>
  <c r="H69" i="4" s="1"/>
  <c r="I68" i="4"/>
  <c r="E68" i="4"/>
  <c r="H68" i="4" s="1"/>
  <c r="I67" i="4"/>
  <c r="E67" i="4"/>
  <c r="H67" i="4" s="1"/>
  <c r="I66" i="4"/>
  <c r="E66" i="4"/>
  <c r="H66" i="4" s="1"/>
  <c r="I65" i="4"/>
  <c r="E65" i="4"/>
  <c r="H65" i="4" s="1"/>
  <c r="I64" i="4"/>
  <c r="E64" i="4"/>
  <c r="H64" i="4" s="1"/>
  <c r="I63" i="4"/>
  <c r="E63" i="4"/>
  <c r="H63" i="4" s="1"/>
  <c r="I62" i="4"/>
  <c r="E62" i="4"/>
  <c r="H62" i="4" s="1"/>
  <c r="I61" i="4"/>
  <c r="E61" i="4"/>
  <c r="H61" i="4" s="1"/>
  <c r="I60" i="4"/>
  <c r="E60" i="4"/>
  <c r="H60" i="4" s="1"/>
  <c r="I59" i="4"/>
  <c r="E59" i="4"/>
  <c r="H59" i="4" s="1"/>
  <c r="I58" i="4"/>
  <c r="E58" i="4"/>
  <c r="H58" i="4" s="1"/>
  <c r="I57" i="4"/>
  <c r="E57" i="4"/>
  <c r="H57" i="4" s="1"/>
  <c r="I56" i="4"/>
  <c r="E56" i="4"/>
  <c r="H56" i="4" s="1"/>
  <c r="I55" i="4"/>
  <c r="E55" i="4"/>
  <c r="H55" i="4" s="1"/>
  <c r="I54" i="4"/>
  <c r="E54" i="4"/>
  <c r="H54" i="4" s="1"/>
  <c r="I53" i="4"/>
  <c r="E53" i="4"/>
  <c r="H53" i="4" s="1"/>
  <c r="I52" i="4"/>
  <c r="E52" i="4"/>
  <c r="H52" i="4" s="1"/>
  <c r="I51" i="4"/>
  <c r="E51" i="4"/>
  <c r="H51" i="4" s="1"/>
  <c r="I50" i="4"/>
  <c r="E50" i="4"/>
  <c r="H50" i="4" s="1"/>
  <c r="I49" i="4"/>
  <c r="E49" i="4"/>
  <c r="H49" i="4" s="1"/>
  <c r="I48" i="4"/>
  <c r="E48" i="4"/>
  <c r="H48" i="4" s="1"/>
  <c r="I47" i="4"/>
  <c r="E47" i="4"/>
  <c r="H47" i="4" s="1"/>
  <c r="I46" i="4"/>
  <c r="E46" i="4"/>
  <c r="H46" i="4" s="1"/>
  <c r="I45" i="4"/>
  <c r="E45" i="4"/>
  <c r="H45" i="4" s="1"/>
  <c r="I44" i="4"/>
  <c r="E44" i="4"/>
  <c r="H44" i="4" s="1"/>
  <c r="I43" i="4"/>
  <c r="E43" i="4"/>
  <c r="H43" i="4" s="1"/>
  <c r="I42" i="4"/>
  <c r="E42" i="4"/>
  <c r="H42" i="4" s="1"/>
  <c r="I41" i="4"/>
  <c r="E41" i="4"/>
  <c r="H41" i="4" s="1"/>
  <c r="I40" i="4"/>
  <c r="E40" i="4"/>
  <c r="H40" i="4" s="1"/>
  <c r="I39" i="4"/>
  <c r="E39" i="4"/>
  <c r="H39" i="4" s="1"/>
  <c r="I38" i="4"/>
  <c r="E38" i="4"/>
  <c r="H38" i="4" s="1"/>
  <c r="I37" i="4"/>
  <c r="E37" i="4"/>
  <c r="H37" i="4" s="1"/>
  <c r="I36" i="4"/>
  <c r="E36" i="4"/>
  <c r="H36" i="4" s="1"/>
  <c r="I35" i="4"/>
  <c r="E35" i="4"/>
  <c r="H35" i="4" s="1"/>
  <c r="I34" i="4"/>
  <c r="E34" i="4"/>
  <c r="H34" i="4" s="1"/>
  <c r="I33" i="4"/>
  <c r="E33" i="4"/>
  <c r="H33" i="4" s="1"/>
  <c r="I32" i="4"/>
  <c r="E32" i="4"/>
  <c r="H32" i="4" s="1"/>
  <c r="I31" i="4"/>
  <c r="E31" i="4"/>
  <c r="H31" i="4" s="1"/>
  <c r="I30" i="4"/>
  <c r="E30" i="4"/>
  <c r="H30" i="4" s="1"/>
  <c r="I29" i="4"/>
  <c r="E29" i="4"/>
  <c r="H29" i="4" s="1"/>
  <c r="I28" i="4"/>
  <c r="E28" i="4"/>
  <c r="H28" i="4" s="1"/>
  <c r="I27" i="4"/>
  <c r="E27" i="4"/>
  <c r="H27" i="4" s="1"/>
  <c r="I26" i="4"/>
  <c r="E26" i="4"/>
  <c r="H26" i="4" s="1"/>
  <c r="I25" i="4"/>
  <c r="E25" i="4"/>
  <c r="H25" i="4" s="1"/>
  <c r="I24" i="4"/>
  <c r="E24" i="4"/>
  <c r="H24" i="4" s="1"/>
  <c r="I23" i="4"/>
  <c r="E23" i="4"/>
  <c r="H23" i="4" s="1"/>
  <c r="I22" i="4"/>
  <c r="E22" i="4"/>
  <c r="H22" i="4" s="1"/>
  <c r="I21" i="4"/>
  <c r="E21" i="4"/>
  <c r="H21" i="4" s="1"/>
  <c r="I20" i="4"/>
  <c r="E20" i="4"/>
  <c r="H20" i="4" s="1"/>
  <c r="I19" i="4"/>
  <c r="E19" i="4"/>
  <c r="H19" i="4" s="1"/>
  <c r="I18" i="4"/>
  <c r="E18" i="4"/>
  <c r="H18" i="4" s="1"/>
  <c r="I17" i="4"/>
  <c r="E17" i="4"/>
  <c r="H17" i="4" s="1"/>
  <c r="I16" i="4"/>
  <c r="E16" i="4"/>
  <c r="H16" i="4" s="1"/>
  <c r="I15" i="4"/>
  <c r="E15" i="4"/>
  <c r="H15" i="4" s="1"/>
  <c r="I14" i="4"/>
  <c r="E14" i="4"/>
  <c r="H14" i="4" s="1"/>
  <c r="I13" i="4"/>
  <c r="E13" i="4"/>
  <c r="H13" i="4" s="1"/>
  <c r="I12" i="4"/>
  <c r="E12" i="4"/>
  <c r="H12" i="4" s="1"/>
  <c r="I11" i="4"/>
  <c r="E11" i="4"/>
  <c r="H11" i="4" s="1"/>
  <c r="I10" i="4"/>
  <c r="E10" i="4"/>
  <c r="H10" i="4" s="1"/>
  <c r="I9" i="4"/>
  <c r="E9" i="4"/>
  <c r="H9" i="4" s="1"/>
  <c r="I8" i="4"/>
  <c r="E8" i="4"/>
  <c r="H8" i="4" s="1"/>
  <c r="I7" i="4"/>
  <c r="E7" i="4"/>
  <c r="H7" i="4" s="1"/>
  <c r="I6" i="4"/>
  <c r="E6" i="4"/>
  <c r="H6" i="4" s="1"/>
  <c r="I5" i="4"/>
  <c r="E5" i="4"/>
  <c r="H5" i="4" s="1"/>
  <c r="I4" i="4"/>
  <c r="E4" i="4"/>
  <c r="H4" i="4" s="1"/>
  <c r="I3" i="4"/>
  <c r="E3" i="4"/>
  <c r="H3" i="4" s="1"/>
  <c r="I2" i="4"/>
  <c r="E2" i="4"/>
  <c r="H2" i="4" s="1"/>
  <c r="K559" i="3"/>
  <c r="L559" i="3" s="1"/>
  <c r="J559" i="3"/>
  <c r="I559" i="3"/>
  <c r="M559" i="3" s="1"/>
  <c r="H559" i="3"/>
  <c r="F559" i="3"/>
  <c r="J557" i="3"/>
  <c r="I557" i="3"/>
  <c r="H557" i="3"/>
  <c r="F557" i="3"/>
  <c r="J556" i="3"/>
  <c r="I556" i="3"/>
  <c r="H556" i="3"/>
  <c r="F556" i="3"/>
  <c r="J555" i="3"/>
  <c r="I555" i="3"/>
  <c r="H555" i="3"/>
  <c r="F555" i="3"/>
  <c r="J554" i="3"/>
  <c r="I554" i="3"/>
  <c r="H554" i="3"/>
  <c r="F554" i="3"/>
  <c r="K552" i="3"/>
  <c r="L552" i="3" s="1"/>
  <c r="J552" i="3"/>
  <c r="I552" i="3"/>
  <c r="M552" i="3" s="1"/>
  <c r="H552" i="3"/>
  <c r="F552" i="3"/>
  <c r="K551" i="3"/>
  <c r="L551" i="3" s="1"/>
  <c r="J551" i="3"/>
  <c r="I551" i="3"/>
  <c r="M551" i="3" s="1"/>
  <c r="H551" i="3"/>
  <c r="F551" i="3"/>
  <c r="K550" i="3"/>
  <c r="L550" i="3" s="1"/>
  <c r="J550" i="3"/>
  <c r="I550" i="3"/>
  <c r="M550" i="3" s="1"/>
  <c r="H550" i="3"/>
  <c r="F550" i="3"/>
  <c r="K549" i="3"/>
  <c r="L549" i="3" s="1"/>
  <c r="J549" i="3"/>
  <c r="I549" i="3"/>
  <c r="M549" i="3" s="1"/>
  <c r="H549" i="3"/>
  <c r="F549" i="3"/>
  <c r="K548" i="3"/>
  <c r="L548" i="3" s="1"/>
  <c r="J548" i="3"/>
  <c r="I548" i="3"/>
  <c r="M548" i="3" s="1"/>
  <c r="H548" i="3"/>
  <c r="F548" i="3"/>
  <c r="K547" i="3"/>
  <c r="L547" i="3" s="1"/>
  <c r="J547" i="3"/>
  <c r="I547" i="3"/>
  <c r="M547" i="3" s="1"/>
  <c r="H547" i="3"/>
  <c r="F547" i="3"/>
  <c r="K546" i="3"/>
  <c r="L546" i="3" s="1"/>
  <c r="J546" i="3"/>
  <c r="I546" i="3"/>
  <c r="M546" i="3" s="1"/>
  <c r="H546" i="3"/>
  <c r="F546" i="3"/>
  <c r="K545" i="3"/>
  <c r="L545" i="3" s="1"/>
  <c r="J545" i="3"/>
  <c r="I545" i="3"/>
  <c r="M545" i="3" s="1"/>
  <c r="H545" i="3"/>
  <c r="F545" i="3"/>
  <c r="K544" i="3"/>
  <c r="L544" i="3" s="1"/>
  <c r="J544" i="3"/>
  <c r="I544" i="3"/>
  <c r="M544" i="3" s="1"/>
  <c r="H544" i="3"/>
  <c r="F544" i="3"/>
  <c r="K543" i="3"/>
  <c r="L543" i="3" s="1"/>
  <c r="J543" i="3"/>
  <c r="I543" i="3"/>
  <c r="M543" i="3" s="1"/>
  <c r="H543" i="3"/>
  <c r="F543" i="3"/>
  <c r="K542" i="3"/>
  <c r="L542" i="3" s="1"/>
  <c r="J542" i="3"/>
  <c r="I542" i="3"/>
  <c r="M542" i="3" s="1"/>
  <c r="H542" i="3"/>
  <c r="F542" i="3"/>
  <c r="K541" i="3"/>
  <c r="L541" i="3" s="1"/>
  <c r="J541" i="3"/>
  <c r="I541" i="3"/>
  <c r="M541" i="3" s="1"/>
  <c r="H541" i="3"/>
  <c r="F541" i="3"/>
  <c r="K540" i="3"/>
  <c r="L540" i="3" s="1"/>
  <c r="J540" i="3"/>
  <c r="I540" i="3"/>
  <c r="M540" i="3" s="1"/>
  <c r="H540" i="3"/>
  <c r="F540" i="3"/>
  <c r="K539" i="3"/>
  <c r="L539" i="3" s="1"/>
  <c r="J539" i="3"/>
  <c r="I539" i="3"/>
  <c r="M539" i="3" s="1"/>
  <c r="H539" i="3"/>
  <c r="F539" i="3"/>
  <c r="K538" i="3"/>
  <c r="L538" i="3" s="1"/>
  <c r="J538" i="3"/>
  <c r="I538" i="3"/>
  <c r="M538" i="3" s="1"/>
  <c r="H538" i="3"/>
  <c r="F538" i="3"/>
  <c r="K537" i="3"/>
  <c r="L537" i="3" s="1"/>
  <c r="E66" i="1" s="1"/>
  <c r="I66" i="2" s="1"/>
  <c r="J537" i="3"/>
  <c r="I537" i="3"/>
  <c r="M537" i="3" s="1"/>
  <c r="D66" i="1" s="1"/>
  <c r="H66" i="2" s="1"/>
  <c r="H537" i="3"/>
  <c r="F537" i="3"/>
  <c r="K536" i="3"/>
  <c r="L536" i="3" s="1"/>
  <c r="J536" i="3"/>
  <c r="I536" i="3"/>
  <c r="M536" i="3" s="1"/>
  <c r="H536" i="3"/>
  <c r="F536" i="3"/>
  <c r="K534" i="3"/>
  <c r="L534" i="3" s="1"/>
  <c r="J534" i="3"/>
  <c r="I534" i="3"/>
  <c r="M534" i="3" s="1"/>
  <c r="H534" i="3"/>
  <c r="F534" i="3"/>
  <c r="K533" i="3"/>
  <c r="L533" i="3" s="1"/>
  <c r="J533" i="3"/>
  <c r="I533" i="3"/>
  <c r="M533" i="3" s="1"/>
  <c r="H533" i="3"/>
  <c r="F533" i="3"/>
  <c r="K532" i="3"/>
  <c r="L532" i="3" s="1"/>
  <c r="J532" i="3"/>
  <c r="I532" i="3"/>
  <c r="M532" i="3" s="1"/>
  <c r="H532" i="3"/>
  <c r="F532" i="3"/>
  <c r="J530" i="3"/>
  <c r="I530" i="3"/>
  <c r="H530" i="3"/>
  <c r="F530" i="3"/>
  <c r="J529" i="3"/>
  <c r="I529" i="3"/>
  <c r="H529" i="3"/>
  <c r="F529" i="3"/>
  <c r="J528" i="3"/>
  <c r="I528" i="3"/>
  <c r="H528" i="3"/>
  <c r="F528" i="3"/>
  <c r="J525" i="3"/>
  <c r="I525" i="3"/>
  <c r="H525" i="3"/>
  <c r="F525" i="3"/>
  <c r="J524" i="3"/>
  <c r="I524" i="3"/>
  <c r="H524" i="3"/>
  <c r="F524" i="3"/>
  <c r="J521" i="3"/>
  <c r="I521" i="3"/>
  <c r="H521" i="3"/>
  <c r="F521" i="3"/>
  <c r="J520" i="3"/>
  <c r="I520" i="3"/>
  <c r="H520" i="3"/>
  <c r="F520" i="3"/>
  <c r="J519" i="3"/>
  <c r="I519" i="3"/>
  <c r="H519" i="3"/>
  <c r="F519" i="3"/>
  <c r="K518" i="3"/>
  <c r="L518" i="3" s="1"/>
  <c r="J518" i="3"/>
  <c r="I518" i="3"/>
  <c r="M518" i="3" s="1"/>
  <c r="H518" i="3"/>
  <c r="F518" i="3"/>
  <c r="K517" i="3"/>
  <c r="L517" i="3" s="1"/>
  <c r="J517" i="3"/>
  <c r="I517" i="3"/>
  <c r="M517" i="3" s="1"/>
  <c r="H517" i="3"/>
  <c r="F517" i="3"/>
  <c r="K516" i="3"/>
  <c r="L516" i="3" s="1"/>
  <c r="J516" i="3"/>
  <c r="I516" i="3"/>
  <c r="M516" i="3" s="1"/>
  <c r="H516" i="3"/>
  <c r="F516" i="3"/>
  <c r="K515" i="3"/>
  <c r="L515" i="3" s="1"/>
  <c r="J515" i="3"/>
  <c r="I515" i="3"/>
  <c r="M515" i="3" s="1"/>
  <c r="H515" i="3"/>
  <c r="F515" i="3"/>
  <c r="K514" i="3"/>
  <c r="L514" i="3" s="1"/>
  <c r="J514" i="3"/>
  <c r="I514" i="3"/>
  <c r="M514" i="3" s="1"/>
  <c r="H514" i="3"/>
  <c r="F514" i="3"/>
  <c r="K513" i="3"/>
  <c r="L513" i="3" s="1"/>
  <c r="J513" i="3"/>
  <c r="I513" i="3"/>
  <c r="M513" i="3" s="1"/>
  <c r="H513" i="3"/>
  <c r="F513" i="3"/>
  <c r="K512" i="3"/>
  <c r="L512" i="3" s="1"/>
  <c r="J512" i="3"/>
  <c r="I512" i="3"/>
  <c r="M512" i="3" s="1"/>
  <c r="H512" i="3"/>
  <c r="F512" i="3"/>
  <c r="K511" i="3"/>
  <c r="L511" i="3" s="1"/>
  <c r="J511" i="3"/>
  <c r="I511" i="3"/>
  <c r="M511" i="3" s="1"/>
  <c r="H511" i="3"/>
  <c r="F511" i="3"/>
  <c r="J510" i="3"/>
  <c r="I510" i="3"/>
  <c r="H510" i="3"/>
  <c r="F510" i="3"/>
  <c r="K509" i="3"/>
  <c r="L509" i="3" s="1"/>
  <c r="J509" i="3"/>
  <c r="I509" i="3"/>
  <c r="M509" i="3" s="1"/>
  <c r="H509" i="3"/>
  <c r="F509" i="3"/>
  <c r="K508" i="3"/>
  <c r="L508" i="3" s="1"/>
  <c r="J508" i="3"/>
  <c r="I508" i="3"/>
  <c r="M508" i="3" s="1"/>
  <c r="H508" i="3"/>
  <c r="F508" i="3"/>
  <c r="K507" i="3"/>
  <c r="L507" i="3" s="1"/>
  <c r="J507" i="3"/>
  <c r="I507" i="3"/>
  <c r="M507" i="3" s="1"/>
  <c r="H507" i="3"/>
  <c r="F507" i="3"/>
  <c r="K506" i="3"/>
  <c r="L506" i="3" s="1"/>
  <c r="J506" i="3"/>
  <c r="I506" i="3"/>
  <c r="M506" i="3" s="1"/>
  <c r="H506" i="3"/>
  <c r="F506" i="3"/>
  <c r="K505" i="3"/>
  <c r="L505" i="3" s="1"/>
  <c r="J505" i="3"/>
  <c r="I505" i="3"/>
  <c r="M505" i="3" s="1"/>
  <c r="H505" i="3"/>
  <c r="F505" i="3"/>
  <c r="J504" i="3"/>
  <c r="I504" i="3"/>
  <c r="H504" i="3"/>
  <c r="F504" i="3"/>
  <c r="M503" i="3"/>
  <c r="J503" i="3"/>
  <c r="I503" i="3"/>
  <c r="K503" i="3" s="1"/>
  <c r="L503" i="3" s="1"/>
  <c r="H503" i="3"/>
  <c r="F503" i="3"/>
  <c r="J502" i="3"/>
  <c r="I502" i="3"/>
  <c r="H502" i="3"/>
  <c r="F502" i="3"/>
  <c r="J501" i="3"/>
  <c r="I501" i="3"/>
  <c r="H501" i="3"/>
  <c r="F501" i="3"/>
  <c r="J500" i="3"/>
  <c r="I500" i="3"/>
  <c r="H500" i="3"/>
  <c r="F500" i="3"/>
  <c r="J499" i="3"/>
  <c r="I499" i="3"/>
  <c r="H499" i="3"/>
  <c r="F499" i="3"/>
  <c r="J498" i="3"/>
  <c r="I498" i="3"/>
  <c r="H498" i="3"/>
  <c r="F498" i="3"/>
  <c r="J497" i="3"/>
  <c r="I497" i="3"/>
  <c r="H497" i="3"/>
  <c r="F497" i="3"/>
  <c r="J496" i="3"/>
  <c r="I496" i="3"/>
  <c r="H496" i="3"/>
  <c r="F496" i="3"/>
  <c r="J495" i="3"/>
  <c r="I495" i="3"/>
  <c r="H495" i="3"/>
  <c r="F495" i="3"/>
  <c r="J494" i="3"/>
  <c r="I494" i="3"/>
  <c r="H494" i="3"/>
  <c r="F494" i="3"/>
  <c r="J493" i="3"/>
  <c r="I493" i="3"/>
  <c r="H493" i="3"/>
  <c r="F493" i="3"/>
  <c r="J492" i="3"/>
  <c r="I492" i="3"/>
  <c r="H492" i="3"/>
  <c r="F492" i="3"/>
  <c r="J491" i="3"/>
  <c r="I491" i="3"/>
  <c r="H491" i="3"/>
  <c r="F491" i="3"/>
  <c r="J490" i="3"/>
  <c r="I490" i="3"/>
  <c r="H490" i="3"/>
  <c r="F490" i="3"/>
  <c r="J489" i="3"/>
  <c r="I489" i="3"/>
  <c r="H489" i="3"/>
  <c r="F489" i="3"/>
  <c r="J488" i="3"/>
  <c r="I488" i="3"/>
  <c r="H488" i="3"/>
  <c r="F488" i="3"/>
  <c r="J487" i="3"/>
  <c r="I487" i="3"/>
  <c r="H487" i="3"/>
  <c r="F487" i="3"/>
  <c r="J486" i="3"/>
  <c r="I486" i="3"/>
  <c r="H486" i="3"/>
  <c r="F486" i="3"/>
  <c r="J485" i="3"/>
  <c r="I485" i="3"/>
  <c r="H485" i="3"/>
  <c r="F485" i="3"/>
  <c r="J484" i="3"/>
  <c r="I484" i="3"/>
  <c r="H484" i="3"/>
  <c r="F484" i="3"/>
  <c r="J483" i="3"/>
  <c r="I483" i="3"/>
  <c r="H483" i="3"/>
  <c r="F483" i="3"/>
  <c r="J482" i="3"/>
  <c r="I482" i="3"/>
  <c r="H482" i="3"/>
  <c r="F482" i="3"/>
  <c r="J481" i="3"/>
  <c r="I481" i="3"/>
  <c r="H481" i="3"/>
  <c r="F481" i="3"/>
  <c r="K480" i="3"/>
  <c r="L480" i="3" s="1"/>
  <c r="J480" i="3"/>
  <c r="I480" i="3"/>
  <c r="M480" i="3" s="1"/>
  <c r="H480" i="3"/>
  <c r="F480" i="3"/>
  <c r="J479" i="3"/>
  <c r="I479" i="3"/>
  <c r="H479" i="3"/>
  <c r="F479" i="3"/>
  <c r="K478" i="3"/>
  <c r="L478" i="3" s="1"/>
  <c r="J478" i="3"/>
  <c r="I478" i="3"/>
  <c r="M478" i="3" s="1"/>
  <c r="H478" i="3"/>
  <c r="F478" i="3"/>
  <c r="J477" i="3"/>
  <c r="I477" i="3"/>
  <c r="H477" i="3"/>
  <c r="F477" i="3"/>
  <c r="K476" i="3"/>
  <c r="L476" i="3" s="1"/>
  <c r="J476" i="3"/>
  <c r="I476" i="3"/>
  <c r="M476" i="3" s="1"/>
  <c r="H476" i="3"/>
  <c r="F476" i="3"/>
  <c r="J475" i="3"/>
  <c r="I475" i="3"/>
  <c r="H475" i="3"/>
  <c r="F475" i="3"/>
  <c r="J474" i="3"/>
  <c r="I474" i="3"/>
  <c r="H474" i="3"/>
  <c r="F474" i="3"/>
  <c r="J473" i="3"/>
  <c r="I473" i="3"/>
  <c r="H473" i="3"/>
  <c r="F473" i="3"/>
  <c r="J472" i="3"/>
  <c r="I472" i="3"/>
  <c r="H472" i="3"/>
  <c r="F472" i="3"/>
  <c r="J470" i="3"/>
  <c r="I470" i="3"/>
  <c r="H470" i="3"/>
  <c r="F470" i="3"/>
  <c r="J469" i="3"/>
  <c r="I469" i="3"/>
  <c r="H469" i="3"/>
  <c r="F469" i="3"/>
  <c r="J468" i="3"/>
  <c r="I468" i="3"/>
  <c r="H468" i="3"/>
  <c r="F468" i="3"/>
  <c r="J467" i="3"/>
  <c r="I467" i="3"/>
  <c r="H467" i="3"/>
  <c r="F467" i="3"/>
  <c r="J465" i="3"/>
  <c r="I465" i="3"/>
  <c r="H465" i="3"/>
  <c r="F465" i="3"/>
  <c r="J464" i="3"/>
  <c r="I464" i="3"/>
  <c r="H464" i="3"/>
  <c r="F464" i="3"/>
  <c r="J463" i="3"/>
  <c r="I463" i="3"/>
  <c r="H463" i="3"/>
  <c r="F463" i="3"/>
  <c r="J462" i="3"/>
  <c r="I462" i="3"/>
  <c r="H462" i="3"/>
  <c r="F462" i="3"/>
  <c r="J461" i="3"/>
  <c r="I461" i="3"/>
  <c r="H461" i="3"/>
  <c r="F461" i="3"/>
  <c r="J460" i="3"/>
  <c r="I460" i="3"/>
  <c r="H460" i="3"/>
  <c r="F460" i="3"/>
  <c r="J459" i="3"/>
  <c r="I459" i="3"/>
  <c r="H459" i="3"/>
  <c r="F459" i="3"/>
  <c r="J458" i="3"/>
  <c r="I458" i="3"/>
  <c r="H458" i="3"/>
  <c r="F458" i="3"/>
  <c r="J457" i="3"/>
  <c r="I457" i="3"/>
  <c r="H457" i="3"/>
  <c r="F457" i="3"/>
  <c r="K456" i="3"/>
  <c r="L456" i="3" s="1"/>
  <c r="J456" i="3"/>
  <c r="I456" i="3"/>
  <c r="M456" i="3" s="1"/>
  <c r="H456" i="3"/>
  <c r="F456" i="3"/>
  <c r="J455" i="3"/>
  <c r="I455" i="3"/>
  <c r="H455" i="3"/>
  <c r="F455" i="3"/>
  <c r="J454" i="3"/>
  <c r="I454" i="3"/>
  <c r="H454" i="3"/>
  <c r="F454" i="3"/>
  <c r="J453" i="3"/>
  <c r="I453" i="3"/>
  <c r="H453" i="3"/>
  <c r="F453" i="3"/>
  <c r="J452" i="3"/>
  <c r="I452" i="3"/>
  <c r="H452" i="3"/>
  <c r="F452" i="3"/>
  <c r="J451" i="3"/>
  <c r="I451" i="3"/>
  <c r="H451" i="3"/>
  <c r="F451" i="3"/>
  <c r="J450" i="3"/>
  <c r="I450" i="3"/>
  <c r="H450" i="3"/>
  <c r="F450" i="3"/>
  <c r="J449" i="3"/>
  <c r="I449" i="3"/>
  <c r="H449" i="3"/>
  <c r="F449" i="3"/>
  <c r="J448" i="3"/>
  <c r="I448" i="3"/>
  <c r="H448" i="3"/>
  <c r="F448" i="3"/>
  <c r="J447" i="3"/>
  <c r="I447" i="3"/>
  <c r="H447" i="3"/>
  <c r="F447" i="3"/>
  <c r="J446" i="3"/>
  <c r="I446" i="3"/>
  <c r="H446" i="3"/>
  <c r="F446" i="3"/>
  <c r="J445" i="3"/>
  <c r="I445" i="3"/>
  <c r="H445" i="3"/>
  <c r="F445" i="3"/>
  <c r="J443" i="3"/>
  <c r="I443" i="3"/>
  <c r="H443" i="3"/>
  <c r="F443" i="3"/>
  <c r="J442" i="3"/>
  <c r="I442" i="3"/>
  <c r="H442" i="3"/>
  <c r="F442" i="3"/>
  <c r="J441" i="3"/>
  <c r="I441" i="3"/>
  <c r="H441" i="3"/>
  <c r="F441" i="3"/>
  <c r="J440" i="3"/>
  <c r="I440" i="3"/>
  <c r="H440" i="3"/>
  <c r="F440" i="3"/>
  <c r="J439" i="3"/>
  <c r="I439" i="3"/>
  <c r="H439" i="3"/>
  <c r="F439" i="3"/>
  <c r="J438" i="3"/>
  <c r="I438" i="3"/>
  <c r="H438" i="3"/>
  <c r="F438" i="3"/>
  <c r="J437" i="3"/>
  <c r="I437" i="3"/>
  <c r="H437" i="3"/>
  <c r="F437" i="3"/>
  <c r="J436" i="3"/>
  <c r="I436" i="3"/>
  <c r="H436" i="3"/>
  <c r="F436" i="3"/>
  <c r="J435" i="3"/>
  <c r="I435" i="3"/>
  <c r="H435" i="3"/>
  <c r="F435" i="3"/>
  <c r="J434" i="3"/>
  <c r="I434" i="3"/>
  <c r="H434" i="3"/>
  <c r="F434" i="3"/>
  <c r="J433" i="3"/>
  <c r="I433" i="3"/>
  <c r="H433" i="3"/>
  <c r="F433" i="3"/>
  <c r="J432" i="3"/>
  <c r="I432" i="3"/>
  <c r="H432" i="3"/>
  <c r="F432" i="3"/>
  <c r="M431" i="3"/>
  <c r="K431" i="3"/>
  <c r="L431" i="3" s="1"/>
  <c r="J431" i="3"/>
  <c r="I431" i="3"/>
  <c r="H431" i="3"/>
  <c r="F431" i="3"/>
  <c r="J430" i="3"/>
  <c r="I430" i="3"/>
  <c r="H430" i="3"/>
  <c r="F430" i="3"/>
  <c r="J429" i="3"/>
  <c r="I429" i="3"/>
  <c r="H429" i="3"/>
  <c r="F429" i="3"/>
  <c r="J428" i="3"/>
  <c r="I428" i="3"/>
  <c r="H428" i="3"/>
  <c r="F428" i="3"/>
  <c r="J427" i="3"/>
  <c r="I427" i="3"/>
  <c r="H427" i="3"/>
  <c r="F427" i="3"/>
  <c r="J426" i="3"/>
  <c r="I426" i="3"/>
  <c r="H426" i="3"/>
  <c r="F426" i="3"/>
  <c r="J425" i="3"/>
  <c r="I425" i="3"/>
  <c r="H425" i="3"/>
  <c r="F425" i="3"/>
  <c r="J423" i="3"/>
  <c r="I423" i="3"/>
  <c r="H423" i="3"/>
  <c r="F423" i="3"/>
  <c r="J422" i="3"/>
  <c r="I422" i="3"/>
  <c r="H422" i="3"/>
  <c r="F422" i="3"/>
  <c r="J421" i="3"/>
  <c r="I421" i="3"/>
  <c r="H421" i="3"/>
  <c r="F421" i="3"/>
  <c r="J420" i="3"/>
  <c r="I420" i="3"/>
  <c r="H420" i="3"/>
  <c r="F420" i="3"/>
  <c r="J419" i="3"/>
  <c r="I419" i="3"/>
  <c r="H419" i="3"/>
  <c r="F419" i="3"/>
  <c r="J418" i="3"/>
  <c r="I418" i="3"/>
  <c r="H418" i="3"/>
  <c r="F418" i="3"/>
  <c r="J417" i="3"/>
  <c r="I417" i="3"/>
  <c r="H417" i="3"/>
  <c r="F417" i="3"/>
  <c r="J416" i="3"/>
  <c r="I416" i="3"/>
  <c r="H416" i="3"/>
  <c r="F416" i="3"/>
  <c r="J415" i="3"/>
  <c r="I415" i="3"/>
  <c r="H415" i="3"/>
  <c r="F415" i="3"/>
  <c r="J414" i="3"/>
  <c r="I414" i="3"/>
  <c r="H414" i="3"/>
  <c r="F414" i="3"/>
  <c r="J411" i="3"/>
  <c r="I411" i="3"/>
  <c r="H411" i="3"/>
  <c r="F411" i="3"/>
  <c r="J410" i="3"/>
  <c r="I410" i="3"/>
  <c r="H410" i="3"/>
  <c r="F410" i="3"/>
  <c r="J409" i="3"/>
  <c r="I409" i="3"/>
  <c r="H409" i="3"/>
  <c r="F409" i="3"/>
  <c r="J408" i="3"/>
  <c r="I408" i="3"/>
  <c r="H408" i="3"/>
  <c r="F408" i="3"/>
  <c r="J407" i="3"/>
  <c r="I407" i="3"/>
  <c r="H407" i="3"/>
  <c r="F407" i="3"/>
  <c r="J406" i="3"/>
  <c r="I406" i="3"/>
  <c r="H406" i="3"/>
  <c r="F406" i="3"/>
  <c r="J405" i="3"/>
  <c r="I405" i="3"/>
  <c r="H405" i="3"/>
  <c r="F405" i="3"/>
  <c r="J404" i="3"/>
  <c r="I404" i="3"/>
  <c r="H404" i="3"/>
  <c r="F404" i="3"/>
  <c r="J403" i="3"/>
  <c r="I403" i="3"/>
  <c r="H403" i="3"/>
  <c r="F403" i="3"/>
  <c r="J402" i="3"/>
  <c r="I402" i="3"/>
  <c r="H402" i="3"/>
  <c r="F402" i="3"/>
  <c r="J401" i="3"/>
  <c r="I401" i="3"/>
  <c r="H401" i="3"/>
  <c r="F401" i="3"/>
  <c r="J400" i="3"/>
  <c r="I400" i="3"/>
  <c r="H400" i="3"/>
  <c r="F400" i="3"/>
  <c r="J399" i="3"/>
  <c r="I399" i="3"/>
  <c r="H399" i="3"/>
  <c r="F399" i="3"/>
  <c r="J398" i="3"/>
  <c r="I398" i="3"/>
  <c r="H398" i="3"/>
  <c r="F398" i="3"/>
  <c r="J397" i="3"/>
  <c r="I397" i="3"/>
  <c r="H397" i="3"/>
  <c r="F397" i="3"/>
  <c r="J396" i="3"/>
  <c r="I396" i="3"/>
  <c r="H396" i="3"/>
  <c r="F396" i="3"/>
  <c r="J395" i="3"/>
  <c r="I395" i="3"/>
  <c r="H395" i="3"/>
  <c r="F395" i="3"/>
  <c r="J394" i="3"/>
  <c r="I394" i="3"/>
  <c r="H394" i="3"/>
  <c r="F394" i="3"/>
  <c r="J393" i="3"/>
  <c r="I393" i="3"/>
  <c r="H393" i="3"/>
  <c r="F393" i="3"/>
  <c r="J392" i="3"/>
  <c r="I392" i="3"/>
  <c r="H392" i="3"/>
  <c r="F392" i="3"/>
  <c r="J391" i="3"/>
  <c r="I391" i="3"/>
  <c r="H391" i="3"/>
  <c r="F391" i="3"/>
  <c r="J390" i="3"/>
  <c r="I390" i="3"/>
  <c r="H390" i="3"/>
  <c r="F390" i="3"/>
  <c r="J388" i="3"/>
  <c r="I388" i="3"/>
  <c r="H388" i="3"/>
  <c r="F388" i="3"/>
  <c r="J387" i="3"/>
  <c r="I387" i="3"/>
  <c r="H387" i="3"/>
  <c r="F387" i="3"/>
  <c r="J386" i="3"/>
  <c r="I386" i="3"/>
  <c r="H386" i="3"/>
  <c r="F386" i="3"/>
  <c r="J385" i="3"/>
  <c r="I385" i="3"/>
  <c r="H385" i="3"/>
  <c r="F385" i="3"/>
  <c r="K384" i="3"/>
  <c r="L384" i="3" s="1"/>
  <c r="J384" i="3"/>
  <c r="I384" i="3"/>
  <c r="M384" i="3" s="1"/>
  <c r="H384" i="3"/>
  <c r="F384" i="3"/>
  <c r="J383" i="3"/>
  <c r="I383" i="3"/>
  <c r="H383" i="3"/>
  <c r="F383" i="3"/>
  <c r="J382" i="3"/>
  <c r="I382" i="3"/>
  <c r="H382" i="3"/>
  <c r="F382" i="3"/>
  <c r="J381" i="3"/>
  <c r="I381" i="3"/>
  <c r="H381" i="3"/>
  <c r="F381" i="3"/>
  <c r="J380" i="3"/>
  <c r="I380" i="3"/>
  <c r="H380" i="3"/>
  <c r="F380" i="3"/>
  <c r="J379" i="3"/>
  <c r="I379" i="3"/>
  <c r="H379" i="3"/>
  <c r="F379" i="3"/>
  <c r="J377" i="3"/>
  <c r="I377" i="3"/>
  <c r="H377" i="3"/>
  <c r="F377" i="3"/>
  <c r="J376" i="3"/>
  <c r="I376" i="3"/>
  <c r="H376" i="3"/>
  <c r="F376" i="3"/>
  <c r="J375" i="3"/>
  <c r="I375" i="3"/>
  <c r="H375" i="3"/>
  <c r="F375" i="3"/>
  <c r="J374" i="3"/>
  <c r="I374" i="3"/>
  <c r="H374" i="3"/>
  <c r="F374" i="3"/>
  <c r="J373" i="3"/>
  <c r="I373" i="3"/>
  <c r="H373" i="3"/>
  <c r="F373" i="3"/>
  <c r="J372" i="3"/>
  <c r="I372" i="3"/>
  <c r="H372" i="3"/>
  <c r="F372" i="3"/>
  <c r="J371" i="3"/>
  <c r="I371" i="3"/>
  <c r="H371" i="3"/>
  <c r="F371" i="3"/>
  <c r="J370" i="3"/>
  <c r="I370" i="3"/>
  <c r="H370" i="3"/>
  <c r="F370" i="3"/>
  <c r="J369" i="3"/>
  <c r="I369" i="3"/>
  <c r="H369" i="3"/>
  <c r="F369" i="3"/>
  <c r="J368" i="3"/>
  <c r="I368" i="3"/>
  <c r="H368" i="3"/>
  <c r="F368" i="3"/>
  <c r="J367" i="3"/>
  <c r="I367" i="3"/>
  <c r="H367" i="3"/>
  <c r="F367" i="3"/>
  <c r="J366" i="3"/>
  <c r="I366" i="3"/>
  <c r="H366" i="3"/>
  <c r="F366" i="3"/>
  <c r="J365" i="3"/>
  <c r="I365" i="3"/>
  <c r="H365" i="3"/>
  <c r="F365" i="3"/>
  <c r="J364" i="3"/>
  <c r="I364" i="3"/>
  <c r="H364" i="3"/>
  <c r="F364" i="3"/>
  <c r="J363" i="3"/>
  <c r="I363" i="3"/>
  <c r="H363" i="3"/>
  <c r="F363" i="3"/>
  <c r="J362" i="3"/>
  <c r="I362" i="3"/>
  <c r="H362" i="3"/>
  <c r="F362" i="3"/>
  <c r="J361" i="3"/>
  <c r="I361" i="3"/>
  <c r="H361" i="3"/>
  <c r="F361" i="3"/>
  <c r="J360" i="3"/>
  <c r="I360" i="3"/>
  <c r="H360" i="3"/>
  <c r="F360" i="3"/>
  <c r="J359" i="3"/>
  <c r="I359" i="3"/>
  <c r="H359" i="3"/>
  <c r="F359" i="3"/>
  <c r="J357" i="3"/>
  <c r="I357" i="3"/>
  <c r="H357" i="3"/>
  <c r="F357" i="3"/>
  <c r="M356" i="3"/>
  <c r="K356" i="3"/>
  <c r="L356" i="3" s="1"/>
  <c r="J356" i="3"/>
  <c r="I356" i="3"/>
  <c r="H356" i="3"/>
  <c r="F356" i="3"/>
  <c r="J355" i="3"/>
  <c r="I355" i="3"/>
  <c r="H355" i="3"/>
  <c r="F355" i="3"/>
  <c r="J354" i="3"/>
  <c r="I354" i="3"/>
  <c r="H354" i="3"/>
  <c r="F354" i="3"/>
  <c r="J352" i="3"/>
  <c r="I352" i="3"/>
  <c r="H352" i="3"/>
  <c r="F352" i="3"/>
  <c r="J350" i="3"/>
  <c r="I350" i="3"/>
  <c r="H350" i="3"/>
  <c r="F350" i="3"/>
  <c r="J349" i="3"/>
  <c r="I349" i="3"/>
  <c r="H349" i="3"/>
  <c r="F349" i="3"/>
  <c r="J348" i="3"/>
  <c r="I348" i="3"/>
  <c r="H348" i="3"/>
  <c r="F348" i="3"/>
  <c r="K347" i="3"/>
  <c r="L347" i="3" s="1"/>
  <c r="J347" i="3"/>
  <c r="I347" i="3"/>
  <c r="M347" i="3" s="1"/>
  <c r="H347" i="3"/>
  <c r="F347" i="3"/>
  <c r="J346" i="3"/>
  <c r="I346" i="3"/>
  <c r="H346" i="3"/>
  <c r="F346" i="3"/>
  <c r="J345" i="3"/>
  <c r="I345" i="3"/>
  <c r="H345" i="3"/>
  <c r="F345" i="3"/>
  <c r="J344" i="3"/>
  <c r="I344" i="3"/>
  <c r="H344" i="3"/>
  <c r="F344" i="3"/>
  <c r="J343" i="3"/>
  <c r="I343" i="3"/>
  <c r="H343" i="3"/>
  <c r="F343" i="3"/>
  <c r="J342" i="3"/>
  <c r="I342" i="3"/>
  <c r="H342" i="3"/>
  <c r="F342" i="3"/>
  <c r="J341" i="3"/>
  <c r="I341" i="3"/>
  <c r="H341" i="3"/>
  <c r="F341" i="3"/>
  <c r="J340" i="3"/>
  <c r="I340" i="3"/>
  <c r="H340" i="3"/>
  <c r="F340" i="3"/>
  <c r="J339" i="3"/>
  <c r="I339" i="3"/>
  <c r="H339" i="3"/>
  <c r="F339" i="3"/>
  <c r="J338" i="3"/>
  <c r="I338" i="3"/>
  <c r="H338" i="3"/>
  <c r="F338" i="3"/>
  <c r="J337" i="3"/>
  <c r="I337" i="3"/>
  <c r="H337" i="3"/>
  <c r="F337" i="3"/>
  <c r="J336" i="3"/>
  <c r="I336" i="3"/>
  <c r="H336" i="3"/>
  <c r="F336" i="3"/>
  <c r="J334" i="3"/>
  <c r="I334" i="3"/>
  <c r="H334" i="3"/>
  <c r="F334" i="3"/>
  <c r="J333" i="3"/>
  <c r="I333" i="3"/>
  <c r="H333" i="3"/>
  <c r="F333" i="3"/>
  <c r="J332" i="3"/>
  <c r="I332" i="3"/>
  <c r="H332" i="3"/>
  <c r="F332" i="3"/>
  <c r="J331" i="3"/>
  <c r="I331" i="3"/>
  <c r="H331" i="3"/>
  <c r="F331" i="3"/>
  <c r="J330" i="3"/>
  <c r="I330" i="3"/>
  <c r="H330" i="3"/>
  <c r="F330" i="3"/>
  <c r="J329" i="3"/>
  <c r="I329" i="3"/>
  <c r="H329" i="3"/>
  <c r="F329" i="3"/>
  <c r="K328" i="3"/>
  <c r="L328" i="3" s="1"/>
  <c r="J328" i="3"/>
  <c r="I328" i="3"/>
  <c r="M328" i="3" s="1"/>
  <c r="H328" i="3"/>
  <c r="F328" i="3"/>
  <c r="K327" i="3"/>
  <c r="L327" i="3" s="1"/>
  <c r="J327" i="3"/>
  <c r="I327" i="3"/>
  <c r="M327" i="3" s="1"/>
  <c r="H327" i="3"/>
  <c r="F327" i="3"/>
  <c r="J326" i="3"/>
  <c r="I326" i="3"/>
  <c r="H326" i="3"/>
  <c r="F326" i="3"/>
  <c r="J325" i="3"/>
  <c r="I325" i="3"/>
  <c r="H325" i="3"/>
  <c r="F325" i="3"/>
  <c r="J324" i="3"/>
  <c r="I324" i="3"/>
  <c r="H324" i="3"/>
  <c r="F324" i="3"/>
  <c r="J323" i="3"/>
  <c r="I323" i="3"/>
  <c r="H323" i="3"/>
  <c r="F323" i="3"/>
  <c r="J322" i="3"/>
  <c r="I322" i="3"/>
  <c r="H322" i="3"/>
  <c r="F322" i="3"/>
  <c r="J321" i="3"/>
  <c r="I321" i="3"/>
  <c r="H321" i="3"/>
  <c r="F321" i="3"/>
  <c r="J320" i="3"/>
  <c r="I320" i="3"/>
  <c r="H320" i="3"/>
  <c r="F320" i="3"/>
  <c r="J319" i="3"/>
  <c r="I319" i="3"/>
  <c r="H319" i="3"/>
  <c r="F319" i="3"/>
  <c r="J318" i="3"/>
  <c r="I318" i="3"/>
  <c r="H318" i="3"/>
  <c r="F318" i="3"/>
  <c r="J317" i="3"/>
  <c r="I317" i="3"/>
  <c r="H317" i="3"/>
  <c r="F317" i="3"/>
  <c r="J316" i="3"/>
  <c r="I316" i="3"/>
  <c r="H316" i="3"/>
  <c r="F316" i="3"/>
  <c r="J315" i="3"/>
  <c r="I315" i="3"/>
  <c r="H315" i="3"/>
  <c r="F315" i="3"/>
  <c r="J314" i="3"/>
  <c r="I314" i="3"/>
  <c r="H314" i="3"/>
  <c r="F314" i="3"/>
  <c r="J313" i="3"/>
  <c r="I313" i="3"/>
  <c r="H313" i="3"/>
  <c r="F313" i="3"/>
  <c r="J312" i="3"/>
  <c r="I312" i="3"/>
  <c r="H312" i="3"/>
  <c r="F312" i="3"/>
  <c r="J311" i="3"/>
  <c r="I311" i="3"/>
  <c r="H311" i="3"/>
  <c r="F311" i="3"/>
  <c r="J310" i="3"/>
  <c r="I310" i="3"/>
  <c r="H310" i="3"/>
  <c r="F310" i="3"/>
  <c r="J309" i="3"/>
  <c r="I309" i="3"/>
  <c r="H309" i="3"/>
  <c r="F309" i="3"/>
  <c r="J308" i="3"/>
  <c r="I308" i="3"/>
  <c r="H308" i="3"/>
  <c r="F308" i="3"/>
  <c r="J307" i="3"/>
  <c r="I307" i="3"/>
  <c r="H307" i="3"/>
  <c r="F307" i="3"/>
  <c r="K306" i="3"/>
  <c r="L306" i="3" s="1"/>
  <c r="J306" i="3"/>
  <c r="I306" i="3"/>
  <c r="M306" i="3" s="1"/>
  <c r="H306" i="3"/>
  <c r="F306" i="3"/>
  <c r="J305" i="3"/>
  <c r="I305" i="3"/>
  <c r="H305" i="3"/>
  <c r="F305" i="3"/>
  <c r="K304" i="3"/>
  <c r="L304" i="3" s="1"/>
  <c r="J304" i="3"/>
  <c r="I304" i="3"/>
  <c r="M304" i="3" s="1"/>
  <c r="H304" i="3"/>
  <c r="F304" i="3"/>
  <c r="K303" i="3"/>
  <c r="L303" i="3" s="1"/>
  <c r="J303" i="3"/>
  <c r="I303" i="3"/>
  <c r="M303" i="3" s="1"/>
  <c r="H303" i="3"/>
  <c r="F303" i="3"/>
  <c r="J302" i="3"/>
  <c r="I302" i="3"/>
  <c r="H302" i="3"/>
  <c r="F302" i="3"/>
  <c r="K301" i="3"/>
  <c r="L301" i="3" s="1"/>
  <c r="J301" i="3"/>
  <c r="I301" i="3"/>
  <c r="M301" i="3" s="1"/>
  <c r="H301" i="3"/>
  <c r="F301" i="3"/>
  <c r="K300" i="3"/>
  <c r="L300" i="3" s="1"/>
  <c r="J300" i="3"/>
  <c r="I300" i="3"/>
  <c r="M300" i="3" s="1"/>
  <c r="H300" i="3"/>
  <c r="F300" i="3"/>
  <c r="K299" i="3"/>
  <c r="L299" i="3" s="1"/>
  <c r="J299" i="3"/>
  <c r="I299" i="3"/>
  <c r="M299" i="3" s="1"/>
  <c r="H299" i="3"/>
  <c r="F299" i="3"/>
  <c r="K298" i="3"/>
  <c r="L298" i="3" s="1"/>
  <c r="J298" i="3"/>
  <c r="I298" i="3"/>
  <c r="M298" i="3" s="1"/>
  <c r="H298" i="3"/>
  <c r="F298" i="3"/>
  <c r="K297" i="3"/>
  <c r="L297" i="3" s="1"/>
  <c r="J297" i="3"/>
  <c r="I297" i="3"/>
  <c r="M297" i="3" s="1"/>
  <c r="H297" i="3"/>
  <c r="F297" i="3"/>
  <c r="K296" i="3"/>
  <c r="L296" i="3" s="1"/>
  <c r="J296" i="3"/>
  <c r="I296" i="3"/>
  <c r="M296" i="3" s="1"/>
  <c r="H296" i="3"/>
  <c r="F296" i="3"/>
  <c r="K295" i="3"/>
  <c r="L295" i="3" s="1"/>
  <c r="J295" i="3"/>
  <c r="I295" i="3"/>
  <c r="M295" i="3" s="1"/>
  <c r="H295" i="3"/>
  <c r="F295" i="3"/>
  <c r="K294" i="3"/>
  <c r="L294" i="3" s="1"/>
  <c r="J294" i="3"/>
  <c r="I294" i="3"/>
  <c r="M294" i="3" s="1"/>
  <c r="H294" i="3"/>
  <c r="F294" i="3"/>
  <c r="K293" i="3"/>
  <c r="L293" i="3" s="1"/>
  <c r="J293" i="3"/>
  <c r="I293" i="3"/>
  <c r="M293" i="3" s="1"/>
  <c r="H293" i="3"/>
  <c r="F293" i="3"/>
  <c r="K292" i="3"/>
  <c r="L292" i="3" s="1"/>
  <c r="J292" i="3"/>
  <c r="I292" i="3"/>
  <c r="M292" i="3" s="1"/>
  <c r="H292" i="3"/>
  <c r="F292" i="3"/>
  <c r="K290" i="3"/>
  <c r="L290" i="3" s="1"/>
  <c r="J290" i="3"/>
  <c r="I290" i="3"/>
  <c r="M290" i="3" s="1"/>
  <c r="H290" i="3"/>
  <c r="F290" i="3"/>
  <c r="K289" i="3"/>
  <c r="L289" i="3" s="1"/>
  <c r="J289" i="3"/>
  <c r="I289" i="3"/>
  <c r="M289" i="3" s="1"/>
  <c r="H289" i="3"/>
  <c r="F289" i="3"/>
  <c r="K288" i="3"/>
  <c r="L288" i="3" s="1"/>
  <c r="J288" i="3"/>
  <c r="I288" i="3"/>
  <c r="M288" i="3" s="1"/>
  <c r="H288" i="3"/>
  <c r="F288" i="3"/>
  <c r="K287" i="3"/>
  <c r="L287" i="3" s="1"/>
  <c r="J287" i="3"/>
  <c r="I287" i="3"/>
  <c r="M287" i="3" s="1"/>
  <c r="H287" i="3"/>
  <c r="F287" i="3"/>
  <c r="K286" i="3"/>
  <c r="L286" i="3" s="1"/>
  <c r="E37" i="1" s="1"/>
  <c r="I37" i="2" s="1"/>
  <c r="J286" i="3"/>
  <c r="I286" i="3"/>
  <c r="M286" i="3" s="1"/>
  <c r="D37" i="1" s="1"/>
  <c r="H37" i="2" s="1"/>
  <c r="H286" i="3"/>
  <c r="F286" i="3"/>
  <c r="K285" i="3"/>
  <c r="L285" i="3" s="1"/>
  <c r="J285" i="3"/>
  <c r="I285" i="3"/>
  <c r="M285" i="3" s="1"/>
  <c r="H285" i="3"/>
  <c r="F285" i="3"/>
  <c r="K283" i="3"/>
  <c r="L283" i="3" s="1"/>
  <c r="J283" i="3"/>
  <c r="I283" i="3"/>
  <c r="M283" i="3" s="1"/>
  <c r="H283" i="3"/>
  <c r="F283" i="3"/>
  <c r="K282" i="3"/>
  <c r="L282" i="3" s="1"/>
  <c r="J282" i="3"/>
  <c r="M282" i="3" s="1"/>
  <c r="I282" i="3"/>
  <c r="H282" i="3"/>
  <c r="F282" i="3"/>
  <c r="J281" i="3"/>
  <c r="I281" i="3"/>
  <c r="H281" i="3"/>
  <c r="F281" i="3"/>
  <c r="J280" i="3"/>
  <c r="I280" i="3"/>
  <c r="H280" i="3"/>
  <c r="F280" i="3"/>
  <c r="J279" i="3"/>
  <c r="I279" i="3"/>
  <c r="H279" i="3"/>
  <c r="F279" i="3"/>
  <c r="J278" i="3"/>
  <c r="I278" i="3"/>
  <c r="H278" i="3"/>
  <c r="F278" i="3"/>
  <c r="J277" i="3"/>
  <c r="I277" i="3"/>
  <c r="H277" i="3"/>
  <c r="F277" i="3"/>
  <c r="J276" i="3"/>
  <c r="I276" i="3"/>
  <c r="H276" i="3"/>
  <c r="F276" i="3"/>
  <c r="J274" i="3"/>
  <c r="I274" i="3"/>
  <c r="H274" i="3"/>
  <c r="F274" i="3"/>
  <c r="J273" i="3"/>
  <c r="I273" i="3"/>
  <c r="H273" i="3"/>
  <c r="F273" i="3"/>
  <c r="J272" i="3"/>
  <c r="I272" i="3"/>
  <c r="H272" i="3"/>
  <c r="F272" i="3"/>
  <c r="J271" i="3"/>
  <c r="I271" i="3"/>
  <c r="H271" i="3"/>
  <c r="F271" i="3"/>
  <c r="J270" i="3"/>
  <c r="I270" i="3"/>
  <c r="H270" i="3"/>
  <c r="F270" i="3"/>
  <c r="J269" i="3"/>
  <c r="I269" i="3"/>
  <c r="H269" i="3"/>
  <c r="F269" i="3"/>
  <c r="J268" i="3"/>
  <c r="I268" i="3"/>
  <c r="H268" i="3"/>
  <c r="F268" i="3"/>
  <c r="J266" i="3"/>
  <c r="I266" i="3"/>
  <c r="H266" i="3"/>
  <c r="F266" i="3"/>
  <c r="J265" i="3"/>
  <c r="I265" i="3"/>
  <c r="H265" i="3"/>
  <c r="F265" i="3"/>
  <c r="J264" i="3"/>
  <c r="I264" i="3"/>
  <c r="H264" i="3"/>
  <c r="F264" i="3"/>
  <c r="J262" i="3"/>
  <c r="I262" i="3"/>
  <c r="H262" i="3"/>
  <c r="F262" i="3"/>
  <c r="J261" i="3"/>
  <c r="I261" i="3"/>
  <c r="H261" i="3"/>
  <c r="F261" i="3"/>
  <c r="J260" i="3"/>
  <c r="I260" i="3"/>
  <c r="H260" i="3"/>
  <c r="F260" i="3"/>
  <c r="J259" i="3"/>
  <c r="I259" i="3"/>
  <c r="H259" i="3"/>
  <c r="F259" i="3"/>
  <c r="J258" i="3"/>
  <c r="I258" i="3"/>
  <c r="H258" i="3"/>
  <c r="F258" i="3"/>
  <c r="J257" i="3"/>
  <c r="I257" i="3"/>
  <c r="H257" i="3"/>
  <c r="F257" i="3"/>
  <c r="J256" i="3"/>
  <c r="I256" i="3"/>
  <c r="H256" i="3"/>
  <c r="F256" i="3"/>
  <c r="J255" i="3"/>
  <c r="I255" i="3"/>
  <c r="H255" i="3"/>
  <c r="F255" i="3"/>
  <c r="J254" i="3"/>
  <c r="I254" i="3"/>
  <c r="H254" i="3"/>
  <c r="F254" i="3"/>
  <c r="J253" i="3"/>
  <c r="I253" i="3"/>
  <c r="H253" i="3"/>
  <c r="F253" i="3"/>
  <c r="J252" i="3"/>
  <c r="I252" i="3"/>
  <c r="H252" i="3"/>
  <c r="F252" i="3"/>
  <c r="J251" i="3"/>
  <c r="I251" i="3"/>
  <c r="H251" i="3"/>
  <c r="F251" i="3"/>
  <c r="J250" i="3"/>
  <c r="I250" i="3"/>
  <c r="H250" i="3"/>
  <c r="F250" i="3"/>
  <c r="J249" i="3"/>
  <c r="I249" i="3"/>
  <c r="H249" i="3"/>
  <c r="F249" i="3"/>
  <c r="K248" i="3"/>
  <c r="L248" i="3" s="1"/>
  <c r="J248" i="3"/>
  <c r="I248" i="3"/>
  <c r="M248" i="3" s="1"/>
  <c r="H248" i="3"/>
  <c r="F248" i="3"/>
  <c r="J246" i="3"/>
  <c r="I246" i="3"/>
  <c r="H246" i="3"/>
  <c r="F246" i="3"/>
  <c r="J245" i="3"/>
  <c r="I245" i="3"/>
  <c r="H245" i="3"/>
  <c r="F245" i="3"/>
  <c r="J244" i="3"/>
  <c r="I244" i="3"/>
  <c r="H244" i="3"/>
  <c r="F244" i="3"/>
  <c r="K243" i="3"/>
  <c r="L243" i="3" s="1"/>
  <c r="J243" i="3"/>
  <c r="I243" i="3"/>
  <c r="M243" i="3" s="1"/>
  <c r="H243" i="3"/>
  <c r="F243" i="3"/>
  <c r="J242" i="3"/>
  <c r="I242" i="3"/>
  <c r="H242" i="3"/>
  <c r="F242" i="3"/>
  <c r="J241" i="3"/>
  <c r="I241" i="3"/>
  <c r="H241" i="3"/>
  <c r="F241" i="3"/>
  <c r="J239" i="3"/>
  <c r="I239" i="3"/>
  <c r="H239" i="3"/>
  <c r="F239" i="3"/>
  <c r="J238" i="3"/>
  <c r="I238" i="3"/>
  <c r="H238" i="3"/>
  <c r="F238" i="3"/>
  <c r="J237" i="3"/>
  <c r="I237" i="3"/>
  <c r="H237" i="3"/>
  <c r="F237" i="3"/>
  <c r="J236" i="3"/>
  <c r="I236" i="3"/>
  <c r="H236" i="3"/>
  <c r="F236" i="3"/>
  <c r="J235" i="3"/>
  <c r="I235" i="3"/>
  <c r="H235" i="3"/>
  <c r="F235" i="3"/>
  <c r="J234" i="3"/>
  <c r="I234" i="3"/>
  <c r="H234" i="3"/>
  <c r="F234" i="3"/>
  <c r="J233" i="3"/>
  <c r="I233" i="3"/>
  <c r="H233" i="3"/>
  <c r="F233" i="3"/>
  <c r="J232" i="3"/>
  <c r="I232" i="3"/>
  <c r="H232" i="3"/>
  <c r="F232" i="3"/>
  <c r="J231" i="3"/>
  <c r="I231" i="3"/>
  <c r="H231" i="3"/>
  <c r="F231" i="3"/>
  <c r="J230" i="3"/>
  <c r="I230" i="3"/>
  <c r="H230" i="3"/>
  <c r="F230" i="3"/>
  <c r="J229" i="3"/>
  <c r="I229" i="3"/>
  <c r="H229" i="3"/>
  <c r="F229" i="3"/>
  <c r="J228" i="3"/>
  <c r="I228" i="3"/>
  <c r="H228" i="3"/>
  <c r="F228" i="3"/>
  <c r="J227" i="3"/>
  <c r="I227" i="3"/>
  <c r="H227" i="3"/>
  <c r="F227" i="3"/>
  <c r="J226" i="3"/>
  <c r="I226" i="3"/>
  <c r="H226" i="3"/>
  <c r="F226" i="3"/>
  <c r="J225" i="3"/>
  <c r="I225" i="3"/>
  <c r="H225" i="3"/>
  <c r="F225" i="3"/>
  <c r="J224" i="3"/>
  <c r="I224" i="3"/>
  <c r="H224" i="3"/>
  <c r="F224" i="3"/>
  <c r="J223" i="3"/>
  <c r="I223" i="3"/>
  <c r="H223" i="3"/>
  <c r="F223" i="3"/>
  <c r="J222" i="3"/>
  <c r="I222" i="3"/>
  <c r="H222" i="3"/>
  <c r="F222" i="3"/>
  <c r="J221" i="3"/>
  <c r="I221" i="3"/>
  <c r="H221" i="3"/>
  <c r="F221" i="3"/>
  <c r="J220" i="3"/>
  <c r="I220" i="3"/>
  <c r="H220" i="3"/>
  <c r="F220" i="3"/>
  <c r="J219" i="3"/>
  <c r="I219" i="3"/>
  <c r="H219" i="3"/>
  <c r="F219" i="3"/>
  <c r="J218" i="3"/>
  <c r="I218" i="3"/>
  <c r="H218" i="3"/>
  <c r="F218" i="3"/>
  <c r="J217" i="3"/>
  <c r="I217" i="3"/>
  <c r="H217" i="3"/>
  <c r="F217" i="3"/>
  <c r="J216" i="3"/>
  <c r="I216" i="3"/>
  <c r="H216" i="3"/>
  <c r="F216" i="3"/>
  <c r="J215" i="3"/>
  <c r="I215" i="3"/>
  <c r="H215" i="3"/>
  <c r="F215" i="3"/>
  <c r="J214" i="3"/>
  <c r="I214" i="3"/>
  <c r="H214" i="3"/>
  <c r="F214" i="3"/>
  <c r="J213" i="3"/>
  <c r="I213" i="3"/>
  <c r="H213" i="3"/>
  <c r="F213" i="3"/>
  <c r="J212" i="3"/>
  <c r="I212" i="3"/>
  <c r="H212" i="3"/>
  <c r="F212" i="3"/>
  <c r="J211" i="3"/>
  <c r="I211" i="3"/>
  <c r="H211" i="3"/>
  <c r="F211" i="3"/>
  <c r="J210" i="3"/>
  <c r="I210" i="3"/>
  <c r="H210" i="3"/>
  <c r="F210" i="3"/>
  <c r="J209" i="3"/>
  <c r="I209" i="3"/>
  <c r="H209" i="3"/>
  <c r="F209" i="3"/>
  <c r="J207" i="3"/>
  <c r="I207" i="3"/>
  <c r="H207" i="3"/>
  <c r="F207" i="3"/>
  <c r="J206" i="3"/>
  <c r="I206" i="3"/>
  <c r="H206" i="3"/>
  <c r="F206" i="3"/>
  <c r="J205" i="3"/>
  <c r="I205" i="3"/>
  <c r="H205" i="3"/>
  <c r="F205" i="3"/>
  <c r="J204" i="3"/>
  <c r="I204" i="3"/>
  <c r="H204" i="3"/>
  <c r="F204" i="3"/>
  <c r="J203" i="3"/>
  <c r="I203" i="3"/>
  <c r="H203" i="3"/>
  <c r="F203" i="3"/>
  <c r="J202" i="3"/>
  <c r="I202" i="3"/>
  <c r="H202" i="3"/>
  <c r="F202" i="3"/>
  <c r="J201" i="3"/>
  <c r="I201" i="3"/>
  <c r="H201" i="3"/>
  <c r="F201" i="3"/>
  <c r="J200" i="3"/>
  <c r="I200" i="3"/>
  <c r="H200" i="3"/>
  <c r="F200" i="3"/>
  <c r="J199" i="3"/>
  <c r="I199" i="3"/>
  <c r="H199" i="3"/>
  <c r="F199" i="3"/>
  <c r="J198" i="3"/>
  <c r="I198" i="3"/>
  <c r="H198" i="3"/>
  <c r="F198" i="3"/>
  <c r="J197" i="3"/>
  <c r="I197" i="3"/>
  <c r="H197" i="3"/>
  <c r="F197" i="3"/>
  <c r="J196" i="3"/>
  <c r="I196" i="3"/>
  <c r="H196" i="3"/>
  <c r="F196" i="3"/>
  <c r="J195" i="3"/>
  <c r="I195" i="3"/>
  <c r="H195" i="3"/>
  <c r="F195" i="3"/>
  <c r="J194" i="3"/>
  <c r="I194" i="3"/>
  <c r="H194" i="3"/>
  <c r="F194" i="3"/>
  <c r="J193" i="3"/>
  <c r="I193" i="3"/>
  <c r="H193" i="3"/>
  <c r="F193" i="3"/>
  <c r="J192" i="3"/>
  <c r="I192" i="3"/>
  <c r="H192" i="3"/>
  <c r="F192" i="3"/>
  <c r="J191" i="3"/>
  <c r="I191" i="3"/>
  <c r="H191" i="3"/>
  <c r="F191" i="3"/>
  <c r="J190" i="3"/>
  <c r="I190" i="3"/>
  <c r="H190" i="3"/>
  <c r="F190" i="3"/>
  <c r="J189" i="3"/>
  <c r="I189" i="3"/>
  <c r="H189" i="3"/>
  <c r="F189" i="3"/>
  <c r="J188" i="3"/>
  <c r="I188" i="3"/>
  <c r="H188" i="3"/>
  <c r="F188" i="3"/>
  <c r="J187" i="3"/>
  <c r="I187" i="3"/>
  <c r="H187" i="3"/>
  <c r="F187" i="3"/>
  <c r="J186" i="3"/>
  <c r="I186" i="3"/>
  <c r="H186" i="3"/>
  <c r="F186" i="3"/>
  <c r="J185" i="3"/>
  <c r="I185" i="3"/>
  <c r="H185" i="3"/>
  <c r="F185" i="3"/>
  <c r="J183" i="3"/>
  <c r="I183" i="3"/>
  <c r="H183" i="3"/>
  <c r="F183" i="3"/>
  <c r="J182" i="3"/>
  <c r="I182" i="3"/>
  <c r="H182" i="3"/>
  <c r="F182" i="3"/>
  <c r="J181" i="3"/>
  <c r="I181" i="3"/>
  <c r="H181" i="3"/>
  <c r="F181" i="3"/>
  <c r="J180" i="3"/>
  <c r="I180" i="3"/>
  <c r="H180" i="3"/>
  <c r="F180" i="3"/>
  <c r="J179" i="3"/>
  <c r="I179" i="3"/>
  <c r="H179" i="3"/>
  <c r="F179" i="3"/>
  <c r="J178" i="3"/>
  <c r="I178" i="3"/>
  <c r="H178" i="3"/>
  <c r="F178" i="3"/>
  <c r="J177" i="3"/>
  <c r="I177" i="3"/>
  <c r="H177" i="3"/>
  <c r="F177" i="3"/>
  <c r="J176" i="3"/>
  <c r="I176" i="3"/>
  <c r="H176" i="3"/>
  <c r="F176" i="3"/>
  <c r="J175" i="3"/>
  <c r="I175" i="3"/>
  <c r="H175" i="3"/>
  <c r="F175" i="3"/>
  <c r="J174" i="3"/>
  <c r="I174" i="3"/>
  <c r="H174" i="3"/>
  <c r="F174" i="3"/>
  <c r="J173" i="3"/>
  <c r="I173" i="3"/>
  <c r="H173" i="3"/>
  <c r="F173" i="3"/>
  <c r="J172" i="3"/>
  <c r="I172" i="3"/>
  <c r="H172" i="3"/>
  <c r="F172" i="3"/>
  <c r="J171" i="3"/>
  <c r="I171" i="3"/>
  <c r="H171" i="3"/>
  <c r="F171" i="3"/>
  <c r="J170" i="3"/>
  <c r="I170" i="3"/>
  <c r="H170" i="3"/>
  <c r="F170" i="3"/>
  <c r="J169" i="3"/>
  <c r="I169" i="3"/>
  <c r="H169" i="3"/>
  <c r="F169" i="3"/>
  <c r="J168" i="3"/>
  <c r="I168" i="3"/>
  <c r="H168" i="3"/>
  <c r="F168" i="3"/>
  <c r="J167" i="3"/>
  <c r="I167" i="3"/>
  <c r="H167" i="3"/>
  <c r="F167" i="3"/>
  <c r="J166" i="3"/>
  <c r="I166" i="3"/>
  <c r="H166" i="3"/>
  <c r="F166" i="3"/>
  <c r="J165" i="3"/>
  <c r="I165" i="3"/>
  <c r="H165" i="3"/>
  <c r="F165" i="3"/>
  <c r="J164" i="3"/>
  <c r="I164" i="3"/>
  <c r="H164" i="3"/>
  <c r="F164" i="3"/>
  <c r="J163" i="3"/>
  <c r="I163" i="3"/>
  <c r="H163" i="3"/>
  <c r="F163" i="3"/>
  <c r="J162" i="3"/>
  <c r="I162" i="3"/>
  <c r="H162" i="3"/>
  <c r="F162" i="3"/>
  <c r="J161" i="3"/>
  <c r="I161" i="3"/>
  <c r="H161" i="3"/>
  <c r="F161" i="3"/>
  <c r="J160" i="3"/>
  <c r="I160" i="3"/>
  <c r="H160" i="3"/>
  <c r="F160" i="3"/>
  <c r="J159" i="3"/>
  <c r="I159" i="3"/>
  <c r="H159" i="3"/>
  <c r="F159" i="3"/>
  <c r="J157" i="3"/>
  <c r="I157" i="3"/>
  <c r="H157" i="3"/>
  <c r="F157" i="3"/>
  <c r="J156" i="3"/>
  <c r="I156" i="3"/>
  <c r="H156" i="3"/>
  <c r="F156" i="3"/>
  <c r="J155" i="3"/>
  <c r="I155" i="3"/>
  <c r="H155" i="3"/>
  <c r="F155" i="3"/>
  <c r="J153" i="3"/>
  <c r="I153" i="3"/>
  <c r="H153" i="3"/>
  <c r="F153" i="3"/>
  <c r="J152" i="3"/>
  <c r="I152" i="3"/>
  <c r="H152" i="3"/>
  <c r="F152" i="3"/>
  <c r="J150" i="3"/>
  <c r="I150" i="3"/>
  <c r="H150" i="3"/>
  <c r="F150" i="3"/>
  <c r="J149" i="3"/>
  <c r="I149" i="3"/>
  <c r="H149" i="3"/>
  <c r="F149" i="3"/>
  <c r="J148" i="3"/>
  <c r="I148" i="3"/>
  <c r="H148" i="3"/>
  <c r="F148" i="3"/>
  <c r="J147" i="3"/>
  <c r="I147" i="3"/>
  <c r="H147" i="3"/>
  <c r="F147" i="3"/>
  <c r="J146" i="3"/>
  <c r="I146" i="3"/>
  <c r="H146" i="3"/>
  <c r="F146" i="3"/>
  <c r="J145" i="3"/>
  <c r="I145" i="3"/>
  <c r="H145" i="3"/>
  <c r="F145" i="3"/>
  <c r="J144" i="3"/>
  <c r="I144" i="3"/>
  <c r="H144" i="3"/>
  <c r="F144" i="3"/>
  <c r="J143" i="3"/>
  <c r="I143" i="3"/>
  <c r="H143" i="3"/>
  <c r="F143" i="3"/>
  <c r="J142" i="3"/>
  <c r="I142" i="3"/>
  <c r="H142" i="3"/>
  <c r="F142" i="3"/>
  <c r="J140" i="3"/>
  <c r="I140" i="3"/>
  <c r="H140" i="3"/>
  <c r="F140" i="3"/>
  <c r="J139" i="3"/>
  <c r="I139" i="3"/>
  <c r="H139" i="3"/>
  <c r="F139" i="3"/>
  <c r="J138" i="3"/>
  <c r="I138" i="3"/>
  <c r="H138" i="3"/>
  <c r="F138" i="3"/>
  <c r="J137" i="3"/>
  <c r="I137" i="3"/>
  <c r="H137" i="3"/>
  <c r="F137" i="3"/>
  <c r="J136" i="3"/>
  <c r="I136" i="3"/>
  <c r="H136" i="3"/>
  <c r="F136" i="3"/>
  <c r="J135" i="3"/>
  <c r="I135" i="3"/>
  <c r="H135" i="3"/>
  <c r="F135" i="3"/>
  <c r="J134" i="3"/>
  <c r="I134" i="3"/>
  <c r="H134" i="3"/>
  <c r="F134" i="3"/>
  <c r="J133" i="3"/>
  <c r="I133" i="3"/>
  <c r="H133" i="3"/>
  <c r="F133" i="3"/>
  <c r="J132" i="3"/>
  <c r="I132" i="3"/>
  <c r="H132" i="3"/>
  <c r="F132" i="3"/>
  <c r="J131" i="3"/>
  <c r="I131" i="3"/>
  <c r="H131" i="3"/>
  <c r="F131" i="3"/>
  <c r="J130" i="3"/>
  <c r="I130" i="3"/>
  <c r="H130" i="3"/>
  <c r="F130" i="3"/>
  <c r="J129" i="3"/>
  <c r="I129" i="3"/>
  <c r="H129" i="3"/>
  <c r="F129" i="3"/>
  <c r="J128" i="3"/>
  <c r="I128" i="3"/>
  <c r="H128" i="3"/>
  <c r="F128" i="3"/>
  <c r="J127" i="3"/>
  <c r="I127" i="3"/>
  <c r="H127" i="3"/>
  <c r="F127" i="3"/>
  <c r="J126" i="3"/>
  <c r="I126" i="3"/>
  <c r="H126" i="3"/>
  <c r="F126" i="3"/>
  <c r="J125" i="3"/>
  <c r="I125" i="3"/>
  <c r="H125" i="3"/>
  <c r="F125" i="3"/>
  <c r="J124" i="3"/>
  <c r="I124" i="3"/>
  <c r="H124" i="3"/>
  <c r="F124" i="3"/>
  <c r="J123" i="3"/>
  <c r="I123" i="3"/>
  <c r="H123" i="3"/>
  <c r="F123" i="3"/>
  <c r="J122" i="3"/>
  <c r="I122" i="3"/>
  <c r="H122" i="3"/>
  <c r="F122" i="3"/>
  <c r="J121" i="3"/>
  <c r="I121" i="3"/>
  <c r="H121" i="3"/>
  <c r="F121" i="3"/>
  <c r="J120" i="3"/>
  <c r="I120" i="3"/>
  <c r="H120" i="3"/>
  <c r="F120" i="3"/>
  <c r="J119" i="3"/>
  <c r="I119" i="3"/>
  <c r="H119" i="3"/>
  <c r="F119" i="3"/>
  <c r="J118" i="3"/>
  <c r="I118" i="3"/>
  <c r="H118" i="3"/>
  <c r="F118" i="3"/>
  <c r="J117" i="3"/>
  <c r="I117" i="3"/>
  <c r="H117" i="3"/>
  <c r="F117" i="3"/>
  <c r="J115" i="3"/>
  <c r="I115" i="3"/>
  <c r="H115" i="3"/>
  <c r="F115" i="3"/>
  <c r="J112" i="3"/>
  <c r="I112" i="3"/>
  <c r="H112" i="3"/>
  <c r="F112" i="3"/>
  <c r="J111" i="3"/>
  <c r="I111" i="3"/>
  <c r="H111" i="3"/>
  <c r="F111" i="3"/>
  <c r="J110" i="3"/>
  <c r="I110" i="3"/>
  <c r="H110" i="3"/>
  <c r="F110" i="3"/>
  <c r="J109" i="3"/>
  <c r="I109" i="3"/>
  <c r="H109" i="3"/>
  <c r="F109" i="3"/>
  <c r="J108" i="3"/>
  <c r="I108" i="3"/>
  <c r="H108" i="3"/>
  <c r="F108" i="3"/>
  <c r="J107" i="3"/>
  <c r="I107" i="3"/>
  <c r="H107" i="3"/>
  <c r="F107" i="3"/>
  <c r="J106" i="3"/>
  <c r="I106" i="3"/>
  <c r="H106" i="3"/>
  <c r="F106" i="3"/>
  <c r="J105" i="3"/>
  <c r="I105" i="3"/>
  <c r="H105" i="3"/>
  <c r="F105" i="3"/>
  <c r="J103" i="3"/>
  <c r="I103" i="3"/>
  <c r="H103" i="3"/>
  <c r="F103" i="3"/>
  <c r="J102" i="3"/>
  <c r="I102" i="3"/>
  <c r="H102" i="3"/>
  <c r="F102" i="3"/>
  <c r="J101" i="3"/>
  <c r="I101" i="3"/>
  <c r="H101" i="3"/>
  <c r="F101" i="3"/>
  <c r="J100" i="3"/>
  <c r="I100" i="3"/>
  <c r="H100" i="3"/>
  <c r="F100" i="3"/>
  <c r="J99" i="3"/>
  <c r="I99" i="3"/>
  <c r="H99" i="3"/>
  <c r="F99" i="3"/>
  <c r="J98" i="3"/>
  <c r="I98" i="3"/>
  <c r="H98" i="3"/>
  <c r="F98" i="3"/>
  <c r="J96" i="3"/>
  <c r="I96" i="3"/>
  <c r="H96" i="3"/>
  <c r="F96" i="3"/>
  <c r="J95" i="3"/>
  <c r="I95" i="3"/>
  <c r="H95" i="3"/>
  <c r="F95" i="3"/>
  <c r="J94" i="3"/>
  <c r="I94" i="3"/>
  <c r="H94" i="3"/>
  <c r="F94" i="3"/>
  <c r="J93" i="3"/>
  <c r="I93" i="3"/>
  <c r="H93" i="3"/>
  <c r="F93" i="3"/>
  <c r="J92" i="3"/>
  <c r="I92" i="3"/>
  <c r="H92" i="3"/>
  <c r="F92" i="3"/>
  <c r="J91" i="3"/>
  <c r="I91" i="3"/>
  <c r="H91" i="3"/>
  <c r="F91" i="3"/>
  <c r="J90" i="3"/>
  <c r="I90" i="3"/>
  <c r="H90" i="3"/>
  <c r="F90" i="3"/>
  <c r="J89" i="3"/>
  <c r="I89" i="3"/>
  <c r="H89" i="3"/>
  <c r="F89" i="3"/>
  <c r="J88" i="3"/>
  <c r="I88" i="3"/>
  <c r="H88" i="3"/>
  <c r="F88" i="3"/>
  <c r="J87" i="3"/>
  <c r="I87" i="3"/>
  <c r="H87" i="3"/>
  <c r="F87" i="3"/>
  <c r="J86" i="3"/>
  <c r="I86" i="3"/>
  <c r="H86" i="3"/>
  <c r="F86" i="3"/>
  <c r="J85" i="3"/>
  <c r="I85" i="3"/>
  <c r="H85" i="3"/>
  <c r="F85" i="3"/>
  <c r="J84" i="3"/>
  <c r="I84" i="3"/>
  <c r="H84" i="3"/>
  <c r="F84" i="3"/>
  <c r="J83" i="3"/>
  <c r="I83" i="3"/>
  <c r="H83" i="3"/>
  <c r="F83" i="3"/>
  <c r="J81" i="3"/>
  <c r="I81" i="3"/>
  <c r="H81" i="3"/>
  <c r="F81" i="3"/>
  <c r="J80" i="3"/>
  <c r="I80" i="3"/>
  <c r="H80" i="3"/>
  <c r="F80" i="3"/>
  <c r="J79" i="3"/>
  <c r="I79" i="3"/>
  <c r="H79" i="3"/>
  <c r="F79" i="3"/>
  <c r="J78" i="3"/>
  <c r="I78" i="3"/>
  <c r="H78" i="3"/>
  <c r="F78" i="3"/>
  <c r="J77" i="3"/>
  <c r="I77" i="3"/>
  <c r="H77" i="3"/>
  <c r="F77" i="3"/>
  <c r="J76" i="3"/>
  <c r="I76" i="3"/>
  <c r="H76" i="3"/>
  <c r="F76" i="3"/>
  <c r="J75" i="3"/>
  <c r="I75" i="3"/>
  <c r="H75" i="3"/>
  <c r="F75" i="3"/>
  <c r="J74" i="3"/>
  <c r="I74" i="3"/>
  <c r="H74" i="3"/>
  <c r="F74" i="3"/>
  <c r="J73" i="3"/>
  <c r="I73" i="3"/>
  <c r="H73" i="3"/>
  <c r="F73" i="3"/>
  <c r="J72" i="3"/>
  <c r="I72" i="3"/>
  <c r="H72" i="3"/>
  <c r="F72" i="3"/>
  <c r="J71" i="3"/>
  <c r="I71" i="3"/>
  <c r="H71" i="3"/>
  <c r="F71" i="3"/>
  <c r="J70" i="3"/>
  <c r="I70" i="3"/>
  <c r="H70" i="3"/>
  <c r="F70" i="3"/>
  <c r="J69" i="3"/>
  <c r="I69" i="3"/>
  <c r="H69" i="3"/>
  <c r="F69" i="3"/>
  <c r="J68" i="3"/>
  <c r="I68" i="3"/>
  <c r="H68" i="3"/>
  <c r="F68" i="3"/>
  <c r="J67" i="3"/>
  <c r="I67" i="3"/>
  <c r="H67" i="3"/>
  <c r="F67" i="3"/>
  <c r="J66" i="3"/>
  <c r="I66" i="3"/>
  <c r="H66" i="3"/>
  <c r="F66" i="3"/>
  <c r="J65" i="3"/>
  <c r="I65" i="3"/>
  <c r="H65" i="3"/>
  <c r="F65" i="3"/>
  <c r="J64" i="3"/>
  <c r="I64" i="3"/>
  <c r="H64" i="3"/>
  <c r="F64" i="3"/>
  <c r="J63" i="3"/>
  <c r="I63" i="3"/>
  <c r="H63" i="3"/>
  <c r="F63" i="3"/>
  <c r="J62" i="3"/>
  <c r="I62" i="3"/>
  <c r="H62" i="3"/>
  <c r="F62" i="3"/>
  <c r="J61" i="3"/>
  <c r="I61" i="3"/>
  <c r="H61" i="3"/>
  <c r="F61" i="3"/>
  <c r="J59" i="3"/>
  <c r="I59" i="3"/>
  <c r="H59" i="3"/>
  <c r="F59" i="3"/>
  <c r="J58" i="3"/>
  <c r="I58" i="3"/>
  <c r="H58" i="3"/>
  <c r="F58" i="3"/>
  <c r="J57" i="3"/>
  <c r="I57" i="3"/>
  <c r="H57" i="3"/>
  <c r="F57" i="3"/>
  <c r="J56" i="3"/>
  <c r="I56" i="3"/>
  <c r="H56" i="3"/>
  <c r="F56" i="3"/>
  <c r="J54" i="3"/>
  <c r="I54" i="3"/>
  <c r="H54" i="3"/>
  <c r="F54" i="3"/>
  <c r="J53" i="3"/>
  <c r="I53" i="3"/>
  <c r="H53" i="3"/>
  <c r="F53" i="3"/>
  <c r="J52" i="3"/>
  <c r="I52" i="3"/>
  <c r="H52" i="3"/>
  <c r="F52" i="3"/>
  <c r="J51" i="3"/>
  <c r="I51" i="3"/>
  <c r="H51" i="3"/>
  <c r="F51" i="3"/>
  <c r="J50" i="3"/>
  <c r="I50" i="3"/>
  <c r="H50" i="3"/>
  <c r="F50" i="3"/>
  <c r="J49" i="3"/>
  <c r="I49" i="3"/>
  <c r="H49" i="3"/>
  <c r="F49" i="3"/>
  <c r="J48" i="3"/>
  <c r="I48" i="3"/>
  <c r="H48" i="3"/>
  <c r="F48" i="3"/>
  <c r="K47" i="3"/>
  <c r="L47" i="3" s="1"/>
  <c r="J47" i="3"/>
  <c r="I47" i="3"/>
  <c r="M47" i="3" s="1"/>
  <c r="H47" i="3"/>
  <c r="F47" i="3"/>
  <c r="J45" i="3"/>
  <c r="I45" i="3"/>
  <c r="H45" i="3"/>
  <c r="F45" i="3"/>
  <c r="J43" i="3"/>
  <c r="I43" i="3"/>
  <c r="H43" i="3"/>
  <c r="F43" i="3"/>
  <c r="J42" i="3"/>
  <c r="I42" i="3"/>
  <c r="H42" i="3"/>
  <c r="F42" i="3"/>
  <c r="J41" i="3"/>
  <c r="I41" i="3"/>
  <c r="H41" i="3"/>
  <c r="F41" i="3"/>
  <c r="J40" i="3"/>
  <c r="I40" i="3"/>
  <c r="H40" i="3"/>
  <c r="F40" i="3"/>
  <c r="J39" i="3"/>
  <c r="I39" i="3"/>
  <c r="H39" i="3"/>
  <c r="F39" i="3"/>
  <c r="J38" i="3"/>
  <c r="I38" i="3"/>
  <c r="H38" i="3"/>
  <c r="F38" i="3"/>
  <c r="J37" i="3"/>
  <c r="I37" i="3"/>
  <c r="H37" i="3"/>
  <c r="F37" i="3"/>
  <c r="J36" i="3"/>
  <c r="I36" i="3"/>
  <c r="H36" i="3"/>
  <c r="F36" i="3"/>
  <c r="J35" i="3"/>
  <c r="I35" i="3"/>
  <c r="H35" i="3"/>
  <c r="F35" i="3"/>
  <c r="K34" i="3"/>
  <c r="L34" i="3" s="1"/>
  <c r="J34" i="3"/>
  <c r="I34" i="3"/>
  <c r="M34" i="3" s="1"/>
  <c r="H34" i="3"/>
  <c r="F34" i="3"/>
  <c r="J33" i="3"/>
  <c r="I33" i="3"/>
  <c r="H33" i="3"/>
  <c r="F33" i="3"/>
  <c r="J32" i="3"/>
  <c r="I32" i="3"/>
  <c r="H32" i="3"/>
  <c r="F32" i="3"/>
  <c r="J31" i="3"/>
  <c r="I31" i="3"/>
  <c r="H31" i="3"/>
  <c r="F31" i="3"/>
  <c r="J29" i="3"/>
  <c r="I29" i="3"/>
  <c r="H29" i="3"/>
  <c r="F29" i="3"/>
  <c r="J28" i="3"/>
  <c r="I28" i="3"/>
  <c r="H28" i="3"/>
  <c r="F28" i="3"/>
  <c r="J27" i="3"/>
  <c r="I27" i="3"/>
  <c r="H27" i="3"/>
  <c r="F27" i="3"/>
  <c r="J26" i="3"/>
  <c r="I26" i="3"/>
  <c r="H26" i="3"/>
  <c r="F26" i="3"/>
  <c r="J25" i="3"/>
  <c r="I25" i="3"/>
  <c r="H25" i="3"/>
  <c r="F25" i="3"/>
  <c r="J23" i="3"/>
  <c r="I23" i="3"/>
  <c r="H23" i="3"/>
  <c r="F23" i="3"/>
  <c r="J22" i="3"/>
  <c r="I22" i="3"/>
  <c r="H22" i="3"/>
  <c r="F22" i="3"/>
  <c r="J21" i="3"/>
  <c r="I21" i="3"/>
  <c r="H21" i="3"/>
  <c r="F21" i="3"/>
  <c r="J20" i="3"/>
  <c r="I20" i="3"/>
  <c r="H20" i="3"/>
  <c r="F20" i="3"/>
  <c r="J19" i="3"/>
  <c r="I19" i="3"/>
  <c r="H19" i="3"/>
  <c r="F19" i="3"/>
  <c r="J18" i="3"/>
  <c r="I18" i="3"/>
  <c r="H18" i="3"/>
  <c r="F18" i="3"/>
  <c r="J17" i="3"/>
  <c r="I17" i="3"/>
  <c r="H17" i="3"/>
  <c r="F17" i="3"/>
  <c r="J16" i="3"/>
  <c r="I16" i="3"/>
  <c r="H16" i="3"/>
  <c r="F16" i="3"/>
  <c r="J15" i="3"/>
  <c r="I15" i="3"/>
  <c r="H15" i="3"/>
  <c r="F15" i="3"/>
  <c r="J14" i="3"/>
  <c r="I14" i="3"/>
  <c r="H14" i="3"/>
  <c r="F14" i="3"/>
  <c r="J13" i="3"/>
  <c r="I13" i="3"/>
  <c r="H13" i="3"/>
  <c r="F13" i="3"/>
  <c r="J12" i="3"/>
  <c r="I12" i="3"/>
  <c r="H12" i="3"/>
  <c r="F12" i="3"/>
  <c r="J11" i="3"/>
  <c r="I11" i="3"/>
  <c r="H11" i="3"/>
  <c r="F11" i="3"/>
  <c r="J10" i="3"/>
  <c r="I10" i="3"/>
  <c r="H10" i="3"/>
  <c r="F10" i="3"/>
  <c r="J9" i="3"/>
  <c r="I9" i="3"/>
  <c r="H9" i="3"/>
  <c r="F9" i="3"/>
  <c r="J8" i="3"/>
  <c r="I8" i="3"/>
  <c r="H8" i="3"/>
  <c r="F8" i="3"/>
  <c r="J7" i="3"/>
  <c r="I7" i="3"/>
  <c r="H7" i="3"/>
  <c r="F7" i="3"/>
  <c r="J6" i="3"/>
  <c r="I6" i="3"/>
  <c r="H6" i="3"/>
  <c r="F6" i="3"/>
  <c r="J5" i="3"/>
  <c r="I5" i="3"/>
  <c r="H5" i="3"/>
  <c r="F5" i="3"/>
  <c r="J4" i="3"/>
  <c r="I4" i="3"/>
  <c r="H4" i="3"/>
  <c r="F4" i="3"/>
  <c r="J3" i="3"/>
  <c r="I3" i="3"/>
  <c r="H3" i="3"/>
  <c r="F3" i="3"/>
  <c r="J2" i="3"/>
  <c r="I2" i="3"/>
  <c r="H2" i="3"/>
  <c r="F2" i="3"/>
  <c r="B71" i="1"/>
  <c r="I68" i="1"/>
  <c r="H68" i="1"/>
  <c r="G68" i="1"/>
  <c r="F68" i="1"/>
  <c r="I67" i="1"/>
  <c r="H67" i="1"/>
  <c r="G67" i="1"/>
  <c r="F67" i="1"/>
  <c r="I66" i="1"/>
  <c r="H66" i="1"/>
  <c r="G66" i="1"/>
  <c r="F66" i="1"/>
  <c r="I65" i="1"/>
  <c r="H65" i="1"/>
  <c r="G65" i="1"/>
  <c r="F65" i="1"/>
  <c r="I64" i="1"/>
  <c r="H64" i="1"/>
  <c r="G64" i="1"/>
  <c r="F64" i="1"/>
  <c r="I63" i="1"/>
  <c r="H63" i="1"/>
  <c r="G63" i="1"/>
  <c r="F63" i="1"/>
  <c r="I62" i="1"/>
  <c r="H62" i="1"/>
  <c r="G62" i="1"/>
  <c r="F62" i="1"/>
  <c r="I61" i="1"/>
  <c r="H61" i="1"/>
  <c r="G61" i="1"/>
  <c r="F61" i="1"/>
  <c r="I60" i="1"/>
  <c r="H60" i="1"/>
  <c r="G60" i="1"/>
  <c r="F60" i="1"/>
  <c r="I59" i="1"/>
  <c r="H59" i="1"/>
  <c r="G59" i="1"/>
  <c r="F59" i="1"/>
  <c r="I58" i="1"/>
  <c r="H58" i="1"/>
  <c r="G58" i="1"/>
  <c r="F58" i="1"/>
  <c r="I57" i="1"/>
  <c r="H57" i="1"/>
  <c r="G57" i="1"/>
  <c r="F57" i="1"/>
  <c r="I56" i="1"/>
  <c r="H56" i="1"/>
  <c r="G56" i="1"/>
  <c r="F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I2" i="1"/>
  <c r="H2" i="1"/>
  <c r="G2" i="1"/>
  <c r="F2" i="1"/>
  <c r="K557" i="3" l="1"/>
  <c r="L557" i="3" s="1"/>
  <c r="M557" i="3"/>
  <c r="M556" i="3"/>
  <c r="K556" i="3"/>
  <c r="L556" i="3" s="1"/>
  <c r="K555" i="3"/>
  <c r="L555" i="3" s="1"/>
  <c r="M555" i="3"/>
  <c r="K554" i="3"/>
  <c r="L554" i="3" s="1"/>
  <c r="E68" i="1" s="1"/>
  <c r="I68" i="2" s="1"/>
  <c r="M554" i="3"/>
  <c r="D68" i="1" s="1"/>
  <c r="H68" i="2" s="1"/>
  <c r="M530" i="3"/>
  <c r="K530" i="3"/>
  <c r="L530" i="3" s="1"/>
  <c r="M529" i="3"/>
  <c r="K529" i="3"/>
  <c r="L529" i="3" s="1"/>
  <c r="M528" i="3"/>
  <c r="K528" i="3"/>
  <c r="L528" i="3" s="1"/>
  <c r="M525" i="3"/>
  <c r="K525" i="3"/>
  <c r="L525" i="3" s="1"/>
  <c r="K524" i="3"/>
  <c r="L524" i="3" s="1"/>
  <c r="M524" i="3"/>
  <c r="K521" i="3"/>
  <c r="L521" i="3" s="1"/>
  <c r="M521" i="3"/>
  <c r="M520" i="3"/>
  <c r="K520" i="3"/>
  <c r="L520" i="3" s="1"/>
  <c r="M519" i="3"/>
  <c r="K519" i="3"/>
  <c r="L519" i="3" s="1"/>
  <c r="M523" i="3"/>
  <c r="D63" i="1" s="1"/>
  <c r="H63" i="2" s="1"/>
  <c r="M527" i="3"/>
  <c r="D64" i="1" s="1"/>
  <c r="H64" i="2" s="1"/>
  <c r="M531" i="3"/>
  <c r="D65" i="1" s="1"/>
  <c r="H65" i="2" s="1"/>
  <c r="D62" i="1"/>
  <c r="H62" i="2" s="1"/>
  <c r="K510" i="3"/>
  <c r="L510" i="3" s="1"/>
  <c r="M510" i="3"/>
  <c r="M504" i="3"/>
  <c r="K504" i="3"/>
  <c r="L504" i="3" s="1"/>
  <c r="K502" i="3"/>
  <c r="L502" i="3" s="1"/>
  <c r="M502" i="3"/>
  <c r="K501" i="3"/>
  <c r="L501" i="3" s="1"/>
  <c r="M501" i="3"/>
  <c r="K500" i="3"/>
  <c r="L500" i="3" s="1"/>
  <c r="M500" i="3"/>
  <c r="D61" i="1" s="1"/>
  <c r="H61" i="2" s="1"/>
  <c r="K499" i="3"/>
  <c r="L499" i="3" s="1"/>
  <c r="M499" i="3"/>
  <c r="K498" i="3"/>
  <c r="L498" i="3" s="1"/>
  <c r="M498" i="3"/>
  <c r="K497" i="3"/>
  <c r="L497" i="3" s="1"/>
  <c r="M497" i="3"/>
  <c r="M496" i="3"/>
  <c r="D60" i="1" s="1"/>
  <c r="H60" i="2" s="1"/>
  <c r="K496" i="3"/>
  <c r="L496" i="3" s="1"/>
  <c r="E60" i="1" s="1"/>
  <c r="I60" i="2" s="1"/>
  <c r="M495" i="3"/>
  <c r="K495" i="3"/>
  <c r="L495" i="3" s="1"/>
  <c r="K494" i="3"/>
  <c r="L494" i="3" s="1"/>
  <c r="M494" i="3"/>
  <c r="M493" i="3"/>
  <c r="K493" i="3"/>
  <c r="L493" i="3" s="1"/>
  <c r="M492" i="3"/>
  <c r="K492" i="3"/>
  <c r="L492" i="3" s="1"/>
  <c r="K491" i="3"/>
  <c r="L491" i="3" s="1"/>
  <c r="M491" i="3"/>
  <c r="M490" i="3"/>
  <c r="K490" i="3"/>
  <c r="L490" i="3" s="1"/>
  <c r="K489" i="3"/>
  <c r="L489" i="3" s="1"/>
  <c r="M489" i="3"/>
  <c r="K488" i="3"/>
  <c r="L488" i="3" s="1"/>
  <c r="E59" i="1" s="1"/>
  <c r="I59" i="2" s="1"/>
  <c r="M488" i="3"/>
  <c r="D59" i="1" s="1"/>
  <c r="H59" i="2" s="1"/>
  <c r="M487" i="3"/>
  <c r="K487" i="3"/>
  <c r="L487" i="3" s="1"/>
  <c r="M486" i="3"/>
  <c r="K486" i="3"/>
  <c r="L486" i="3" s="1"/>
  <c r="M485" i="3"/>
  <c r="K485" i="3"/>
  <c r="L485" i="3" s="1"/>
  <c r="K484" i="3"/>
  <c r="L484" i="3" s="1"/>
  <c r="M484" i="3"/>
  <c r="M483" i="3"/>
  <c r="K483" i="3"/>
  <c r="L483" i="3" s="1"/>
  <c r="M482" i="3"/>
  <c r="D58" i="1" s="1"/>
  <c r="H58" i="2" s="1"/>
  <c r="K482" i="3"/>
  <c r="L482" i="3" s="1"/>
  <c r="E58" i="1" s="1"/>
  <c r="I58" i="2" s="1"/>
  <c r="M481" i="3"/>
  <c r="K481" i="3"/>
  <c r="L481" i="3" s="1"/>
  <c r="M479" i="3"/>
  <c r="K479" i="3"/>
  <c r="L479" i="3" s="1"/>
  <c r="M477" i="3"/>
  <c r="K477" i="3"/>
  <c r="L477" i="3" s="1"/>
  <c r="M475" i="3"/>
  <c r="K475" i="3"/>
  <c r="L475" i="3" s="1"/>
  <c r="M474" i="3"/>
  <c r="K474" i="3"/>
  <c r="L474" i="3" s="1"/>
  <c r="K473" i="3"/>
  <c r="L473" i="3" s="1"/>
  <c r="M473" i="3"/>
  <c r="K472" i="3"/>
  <c r="L472" i="3" s="1"/>
  <c r="M472" i="3"/>
  <c r="K470" i="3"/>
  <c r="L470" i="3" s="1"/>
  <c r="M470" i="3"/>
  <c r="K469" i="3"/>
  <c r="L469" i="3" s="1"/>
  <c r="M469" i="3"/>
  <c r="K468" i="3"/>
  <c r="L468" i="3" s="1"/>
  <c r="M468" i="3"/>
  <c r="M467" i="3"/>
  <c r="K467" i="3"/>
  <c r="L467" i="3" s="1"/>
  <c r="M465" i="3"/>
  <c r="K465" i="3"/>
  <c r="L465" i="3" s="1"/>
  <c r="M464" i="3"/>
  <c r="K464" i="3"/>
  <c r="L464" i="3" s="1"/>
  <c r="K463" i="3"/>
  <c r="L463" i="3" s="1"/>
  <c r="E56" i="1" s="1"/>
  <c r="I56" i="2" s="1"/>
  <c r="M463" i="3"/>
  <c r="D56" i="1" s="1"/>
  <c r="H56" i="2" s="1"/>
  <c r="K462" i="3"/>
  <c r="L462" i="3" s="1"/>
  <c r="M462" i="3"/>
  <c r="M461" i="3"/>
  <c r="K461" i="3"/>
  <c r="L461" i="3" s="1"/>
  <c r="M460" i="3"/>
  <c r="K460" i="3"/>
  <c r="L460" i="3" s="1"/>
  <c r="M459" i="3"/>
  <c r="K459" i="3"/>
  <c r="L459" i="3" s="1"/>
  <c r="K458" i="3"/>
  <c r="L458" i="3" s="1"/>
  <c r="E55" i="1" s="1"/>
  <c r="I55" i="2" s="1"/>
  <c r="M458" i="3"/>
  <c r="D55" i="1" s="1"/>
  <c r="H55" i="2" s="1"/>
  <c r="K457" i="3"/>
  <c r="L457" i="3" s="1"/>
  <c r="M457" i="3"/>
  <c r="M455" i="3"/>
  <c r="K455" i="3"/>
  <c r="L455" i="3" s="1"/>
  <c r="M454" i="3"/>
  <c r="K454" i="3"/>
  <c r="L454" i="3" s="1"/>
  <c r="K453" i="3"/>
  <c r="L453" i="3" s="1"/>
  <c r="M453" i="3"/>
  <c r="K452" i="3"/>
  <c r="L452" i="3" s="1"/>
  <c r="E54" i="1" s="1"/>
  <c r="I54" i="2" s="1"/>
  <c r="M452" i="3"/>
  <c r="D54" i="1" s="1"/>
  <c r="H54" i="2" s="1"/>
  <c r="M451" i="3"/>
  <c r="K451" i="3"/>
  <c r="L451" i="3" s="1"/>
  <c r="M450" i="3"/>
  <c r="K450" i="3"/>
  <c r="L450" i="3" s="1"/>
  <c r="M449" i="3"/>
  <c r="K449" i="3"/>
  <c r="L449" i="3" s="1"/>
  <c r="K448" i="3"/>
  <c r="L448" i="3" s="1"/>
  <c r="M448" i="3"/>
  <c r="K447" i="3"/>
  <c r="L447" i="3" s="1"/>
  <c r="E53" i="1" s="1"/>
  <c r="I53" i="2" s="1"/>
  <c r="M447" i="3"/>
  <c r="D53" i="1" s="1"/>
  <c r="H53" i="2" s="1"/>
  <c r="M446" i="3"/>
  <c r="K446" i="3"/>
  <c r="L446" i="3" s="1"/>
  <c r="M445" i="3"/>
  <c r="K445" i="3"/>
  <c r="L445" i="3" s="1"/>
  <c r="K443" i="3"/>
  <c r="L443" i="3" s="1"/>
  <c r="M443" i="3"/>
  <c r="K442" i="3"/>
  <c r="L442" i="3" s="1"/>
  <c r="M442" i="3"/>
  <c r="K441" i="3"/>
  <c r="L441" i="3" s="1"/>
  <c r="M441" i="3"/>
  <c r="K440" i="3"/>
  <c r="L440" i="3" s="1"/>
  <c r="M440" i="3"/>
  <c r="K439" i="3"/>
  <c r="L439" i="3" s="1"/>
  <c r="M439" i="3"/>
  <c r="K438" i="3"/>
  <c r="L438" i="3" s="1"/>
  <c r="M438" i="3"/>
  <c r="M437" i="3"/>
  <c r="K437" i="3"/>
  <c r="L437" i="3" s="1"/>
  <c r="M436" i="3"/>
  <c r="K436" i="3"/>
  <c r="L436" i="3" s="1"/>
  <c r="K435" i="3"/>
  <c r="L435" i="3" s="1"/>
  <c r="E52" i="1" s="1"/>
  <c r="I52" i="2" s="1"/>
  <c r="M435" i="3"/>
  <c r="D52" i="1" s="1"/>
  <c r="H52" i="2" s="1"/>
  <c r="K434" i="3"/>
  <c r="L434" i="3" s="1"/>
  <c r="M434" i="3"/>
  <c r="K433" i="3"/>
  <c r="L433" i="3" s="1"/>
  <c r="M433" i="3"/>
  <c r="K432" i="3"/>
  <c r="L432" i="3" s="1"/>
  <c r="M432" i="3"/>
  <c r="M430" i="3"/>
  <c r="D51" i="1" s="1"/>
  <c r="H51" i="2" s="1"/>
  <c r="K430" i="3"/>
  <c r="L430" i="3" s="1"/>
  <c r="E51" i="1" s="1"/>
  <c r="I51" i="2" s="1"/>
  <c r="K429" i="3"/>
  <c r="L429" i="3" s="1"/>
  <c r="M429" i="3"/>
  <c r="K428" i="3"/>
  <c r="L428" i="3" s="1"/>
  <c r="M428" i="3"/>
  <c r="M427" i="3"/>
  <c r="K427" i="3"/>
  <c r="L427" i="3" s="1"/>
  <c r="M426" i="3"/>
  <c r="K426" i="3"/>
  <c r="L426" i="3" s="1"/>
  <c r="M425" i="3"/>
  <c r="K425" i="3"/>
  <c r="L425" i="3" s="1"/>
  <c r="M423" i="3"/>
  <c r="K423" i="3"/>
  <c r="L423" i="3" s="1"/>
  <c r="M422" i="3"/>
  <c r="K422" i="3"/>
  <c r="L422" i="3" s="1"/>
  <c r="M421" i="3"/>
  <c r="K421" i="3"/>
  <c r="L421" i="3" s="1"/>
  <c r="M420" i="3"/>
  <c r="K420" i="3"/>
  <c r="L420" i="3" s="1"/>
  <c r="M419" i="3"/>
  <c r="K419" i="3"/>
  <c r="L419" i="3" s="1"/>
  <c r="K418" i="3"/>
  <c r="L418" i="3" s="1"/>
  <c r="M418" i="3"/>
  <c r="M417" i="3"/>
  <c r="K417" i="3"/>
  <c r="L417" i="3" s="1"/>
  <c r="M416" i="3"/>
  <c r="K416" i="3"/>
  <c r="L416" i="3" s="1"/>
  <c r="M415" i="3"/>
  <c r="K415" i="3"/>
  <c r="L415" i="3" s="1"/>
  <c r="K414" i="3"/>
  <c r="L414" i="3" s="1"/>
  <c r="M414" i="3"/>
  <c r="K411" i="3"/>
  <c r="L411" i="3" s="1"/>
  <c r="M411" i="3"/>
  <c r="M410" i="3"/>
  <c r="K410" i="3"/>
  <c r="L410" i="3" s="1"/>
  <c r="M409" i="3"/>
  <c r="K409" i="3"/>
  <c r="L409" i="3" s="1"/>
  <c r="K408" i="3"/>
  <c r="L408" i="3" s="1"/>
  <c r="M408" i="3"/>
  <c r="K407" i="3"/>
  <c r="L407" i="3" s="1"/>
  <c r="M407" i="3"/>
  <c r="M406" i="3"/>
  <c r="K406" i="3"/>
  <c r="L406" i="3" s="1"/>
  <c r="M405" i="3"/>
  <c r="K405" i="3"/>
  <c r="L405" i="3" s="1"/>
  <c r="K404" i="3"/>
  <c r="L404" i="3" s="1"/>
  <c r="E49" i="1" s="1"/>
  <c r="I49" i="2" s="1"/>
  <c r="M404" i="3"/>
  <c r="D49" i="1" s="1"/>
  <c r="H49" i="2" s="1"/>
  <c r="K403" i="3"/>
  <c r="L403" i="3" s="1"/>
  <c r="M403" i="3"/>
  <c r="M402" i="3"/>
  <c r="K402" i="3"/>
  <c r="L402" i="3" s="1"/>
  <c r="M401" i="3"/>
  <c r="K401" i="3"/>
  <c r="L401" i="3" s="1"/>
  <c r="M400" i="3"/>
  <c r="K400" i="3"/>
  <c r="L400" i="3" s="1"/>
  <c r="M399" i="3"/>
  <c r="D48" i="1" s="1"/>
  <c r="H48" i="2" s="1"/>
  <c r="K399" i="3"/>
  <c r="L399" i="3" s="1"/>
  <c r="E48" i="1" s="1"/>
  <c r="I48" i="2" s="1"/>
  <c r="K398" i="3"/>
  <c r="L398" i="3" s="1"/>
  <c r="M398" i="3"/>
  <c r="K397" i="3"/>
  <c r="L397" i="3" s="1"/>
  <c r="M397" i="3"/>
  <c r="K396" i="3"/>
  <c r="L396" i="3" s="1"/>
  <c r="M396" i="3"/>
  <c r="K395" i="3"/>
  <c r="L395" i="3" s="1"/>
  <c r="M395" i="3"/>
  <c r="K394" i="3"/>
  <c r="L394" i="3" s="1"/>
  <c r="M394" i="3"/>
  <c r="K393" i="3"/>
  <c r="L393" i="3" s="1"/>
  <c r="M393" i="3"/>
  <c r="K392" i="3"/>
  <c r="L392" i="3" s="1"/>
  <c r="M392" i="3"/>
  <c r="K391" i="3"/>
  <c r="L391" i="3" s="1"/>
  <c r="E47" i="1" s="1"/>
  <c r="I47" i="2" s="1"/>
  <c r="M391" i="3"/>
  <c r="D47" i="1" s="1"/>
  <c r="H47" i="2" s="1"/>
  <c r="K390" i="3"/>
  <c r="L390" i="3" s="1"/>
  <c r="M390" i="3"/>
  <c r="M388" i="3"/>
  <c r="K388" i="3"/>
  <c r="L388" i="3" s="1"/>
  <c r="M387" i="3"/>
  <c r="D46" i="1" s="1"/>
  <c r="H46" i="2" s="1"/>
  <c r="K387" i="3"/>
  <c r="L387" i="3" s="1"/>
  <c r="E46" i="1" s="1"/>
  <c r="I46" i="2" s="1"/>
  <c r="M386" i="3"/>
  <c r="K386" i="3"/>
  <c r="L386" i="3" s="1"/>
  <c r="M385" i="3"/>
  <c r="K385" i="3"/>
  <c r="L385" i="3" s="1"/>
  <c r="M383" i="3"/>
  <c r="K383" i="3"/>
  <c r="L383" i="3" s="1"/>
  <c r="M382" i="3"/>
  <c r="K382" i="3"/>
  <c r="L382" i="3" s="1"/>
  <c r="K381" i="3"/>
  <c r="L381" i="3" s="1"/>
  <c r="M381" i="3"/>
  <c r="K380" i="3"/>
  <c r="L380" i="3" s="1"/>
  <c r="M380" i="3"/>
  <c r="M379" i="3"/>
  <c r="K379" i="3"/>
  <c r="L379" i="3" s="1"/>
  <c r="M377" i="3"/>
  <c r="K377" i="3"/>
  <c r="L377" i="3" s="1"/>
  <c r="M376" i="3"/>
  <c r="K376" i="3"/>
  <c r="L376" i="3" s="1"/>
  <c r="M375" i="3"/>
  <c r="K375" i="3"/>
  <c r="L375" i="3" s="1"/>
  <c r="M374" i="3"/>
  <c r="D45" i="1" s="1"/>
  <c r="H45" i="2" s="1"/>
  <c r="K374" i="3"/>
  <c r="L374" i="3" s="1"/>
  <c r="E45" i="1" s="1"/>
  <c r="I45" i="2" s="1"/>
  <c r="M373" i="3"/>
  <c r="K373" i="3"/>
  <c r="L373" i="3" s="1"/>
  <c r="K372" i="3"/>
  <c r="L372" i="3" s="1"/>
  <c r="E44" i="1" s="1"/>
  <c r="I44" i="2" s="1"/>
  <c r="M372" i="3"/>
  <c r="D44" i="1" s="1"/>
  <c r="H44" i="2" s="1"/>
  <c r="M371" i="3"/>
  <c r="K371" i="3"/>
  <c r="L371" i="3" s="1"/>
  <c r="M370" i="3"/>
  <c r="K370" i="3"/>
  <c r="L370" i="3" s="1"/>
  <c r="K369" i="3"/>
  <c r="L369" i="3" s="1"/>
  <c r="M369" i="3"/>
  <c r="K368" i="3"/>
  <c r="L368" i="3" s="1"/>
  <c r="M368" i="3"/>
  <c r="K367" i="3"/>
  <c r="L367" i="3" s="1"/>
  <c r="M367" i="3"/>
  <c r="K366" i="3"/>
  <c r="L366" i="3" s="1"/>
  <c r="M366" i="3"/>
  <c r="K365" i="3"/>
  <c r="L365" i="3" s="1"/>
  <c r="M365" i="3"/>
  <c r="K364" i="3"/>
  <c r="L364" i="3" s="1"/>
  <c r="M364" i="3"/>
  <c r="M363" i="3"/>
  <c r="K363" i="3"/>
  <c r="L363" i="3" s="1"/>
  <c r="M362" i="3"/>
  <c r="K362" i="3"/>
  <c r="L362" i="3" s="1"/>
  <c r="M361" i="3"/>
  <c r="D43" i="1" s="1"/>
  <c r="H43" i="2" s="1"/>
  <c r="K361" i="3"/>
  <c r="L361" i="3" s="1"/>
  <c r="E43" i="1" s="1"/>
  <c r="I43" i="2" s="1"/>
  <c r="M360" i="3"/>
  <c r="K360" i="3"/>
  <c r="L360" i="3" s="1"/>
  <c r="M359" i="3"/>
  <c r="K359" i="3"/>
  <c r="L359" i="3" s="1"/>
  <c r="M357" i="3"/>
  <c r="K357" i="3"/>
  <c r="L357" i="3" s="1"/>
  <c r="K355" i="3"/>
  <c r="L355" i="3" s="1"/>
  <c r="M355" i="3"/>
  <c r="K354" i="3"/>
  <c r="L354" i="3" s="1"/>
  <c r="E42" i="1" s="1"/>
  <c r="I42" i="2" s="1"/>
  <c r="M354" i="3"/>
  <c r="D42" i="1" s="1"/>
  <c r="H42" i="2" s="1"/>
  <c r="M352" i="3"/>
  <c r="K352" i="3"/>
  <c r="L352" i="3" s="1"/>
  <c r="K350" i="3"/>
  <c r="L350" i="3" s="1"/>
  <c r="M350" i="3"/>
  <c r="K349" i="3"/>
  <c r="L349" i="3" s="1"/>
  <c r="M349" i="3"/>
  <c r="K348" i="3"/>
  <c r="L348" i="3" s="1"/>
  <c r="M348" i="3"/>
  <c r="K346" i="3"/>
  <c r="L346" i="3" s="1"/>
  <c r="M346" i="3"/>
  <c r="K345" i="3"/>
  <c r="L345" i="3" s="1"/>
  <c r="M345" i="3"/>
  <c r="K344" i="3"/>
  <c r="L344" i="3" s="1"/>
  <c r="M344" i="3"/>
  <c r="K343" i="3"/>
  <c r="L343" i="3" s="1"/>
  <c r="M343" i="3"/>
  <c r="K342" i="3"/>
  <c r="L342" i="3" s="1"/>
  <c r="M342" i="3"/>
  <c r="K341" i="3"/>
  <c r="L341" i="3" s="1"/>
  <c r="M341" i="3"/>
  <c r="K340" i="3"/>
  <c r="L340" i="3" s="1"/>
  <c r="E41" i="1" s="1"/>
  <c r="I41" i="2" s="1"/>
  <c r="M340" i="3"/>
  <c r="D41" i="1" s="1"/>
  <c r="H41" i="2" s="1"/>
  <c r="K339" i="3"/>
  <c r="L339" i="3" s="1"/>
  <c r="M339" i="3"/>
  <c r="M338" i="3"/>
  <c r="K338" i="3"/>
  <c r="L338" i="3" s="1"/>
  <c r="K337" i="3"/>
  <c r="L337" i="3" s="1"/>
  <c r="M337" i="3"/>
  <c r="K336" i="3"/>
  <c r="L336" i="3" s="1"/>
  <c r="M336" i="3"/>
  <c r="M334" i="3"/>
  <c r="K334" i="3"/>
  <c r="L334" i="3" s="1"/>
  <c r="M333" i="3"/>
  <c r="K333" i="3"/>
  <c r="L333" i="3" s="1"/>
  <c r="M332" i="3"/>
  <c r="K332" i="3"/>
  <c r="L332" i="3" s="1"/>
  <c r="M331" i="3"/>
  <c r="K331" i="3"/>
  <c r="L331" i="3" s="1"/>
  <c r="M330" i="3"/>
  <c r="K330" i="3"/>
  <c r="L330" i="3" s="1"/>
  <c r="K329" i="3"/>
  <c r="L329" i="3" s="1"/>
  <c r="E40" i="1" s="1"/>
  <c r="I40" i="2" s="1"/>
  <c r="M329" i="3"/>
  <c r="D40" i="1" s="1"/>
  <c r="H40" i="2" s="1"/>
  <c r="M326" i="3"/>
  <c r="K326" i="3"/>
  <c r="L326" i="3" s="1"/>
  <c r="M325" i="3"/>
  <c r="K325" i="3"/>
  <c r="L325" i="3" s="1"/>
  <c r="M324" i="3"/>
  <c r="K324" i="3"/>
  <c r="L324" i="3" s="1"/>
  <c r="M323" i="3"/>
  <c r="K323" i="3"/>
  <c r="L323" i="3" s="1"/>
  <c r="K322" i="3"/>
  <c r="L322" i="3" s="1"/>
  <c r="M322" i="3"/>
  <c r="M321" i="3"/>
  <c r="K321" i="3"/>
  <c r="L321" i="3" s="1"/>
  <c r="K320" i="3"/>
  <c r="L320" i="3" s="1"/>
  <c r="M320" i="3"/>
  <c r="M319" i="3"/>
  <c r="K319" i="3"/>
  <c r="L319" i="3" s="1"/>
  <c r="M318" i="3"/>
  <c r="K318" i="3"/>
  <c r="L318" i="3" s="1"/>
  <c r="M317" i="3"/>
  <c r="K317" i="3"/>
  <c r="L317" i="3" s="1"/>
  <c r="M316" i="3"/>
  <c r="K316" i="3"/>
  <c r="L316" i="3" s="1"/>
  <c r="M315" i="3"/>
  <c r="K315" i="3"/>
  <c r="L315" i="3" s="1"/>
  <c r="M314" i="3"/>
  <c r="K314" i="3"/>
  <c r="L314" i="3" s="1"/>
  <c r="K313" i="3"/>
  <c r="L313" i="3" s="1"/>
  <c r="M313" i="3"/>
  <c r="M312" i="3"/>
  <c r="K312" i="3"/>
  <c r="L312" i="3" s="1"/>
  <c r="K311" i="3"/>
  <c r="L311" i="3" s="1"/>
  <c r="M311" i="3"/>
  <c r="M310" i="3"/>
  <c r="K310" i="3"/>
  <c r="L310" i="3" s="1"/>
  <c r="M309" i="3"/>
  <c r="K309" i="3"/>
  <c r="L309" i="3" s="1"/>
  <c r="M308" i="3"/>
  <c r="K308" i="3"/>
  <c r="L308" i="3" s="1"/>
  <c r="K307" i="3"/>
  <c r="L307" i="3" s="1"/>
  <c r="M307" i="3"/>
  <c r="M305" i="3"/>
  <c r="K305" i="3"/>
  <c r="L305" i="3" s="1"/>
  <c r="M302" i="3"/>
  <c r="D38" i="1" s="1"/>
  <c r="H38" i="2" s="1"/>
  <c r="K302" i="3"/>
  <c r="L302" i="3" s="1"/>
  <c r="E38" i="1" s="1"/>
  <c r="I38" i="2" s="1"/>
  <c r="M281" i="3"/>
  <c r="K281" i="3"/>
  <c r="L281" i="3" s="1"/>
  <c r="M280" i="3"/>
  <c r="K280" i="3"/>
  <c r="L280" i="3" s="1"/>
  <c r="M279" i="3"/>
  <c r="K279" i="3"/>
  <c r="L279" i="3" s="1"/>
  <c r="M278" i="3"/>
  <c r="K278" i="3"/>
  <c r="L278" i="3" s="1"/>
  <c r="M277" i="3"/>
  <c r="K277" i="3"/>
  <c r="L277" i="3" s="1"/>
  <c r="M276" i="3"/>
  <c r="D36" i="1" s="1"/>
  <c r="H36" i="2" s="1"/>
  <c r="K276" i="3"/>
  <c r="L276" i="3" s="1"/>
  <c r="E36" i="1" s="1"/>
  <c r="I36" i="2" s="1"/>
  <c r="M274" i="3"/>
  <c r="K274" i="3"/>
  <c r="L274" i="3" s="1"/>
  <c r="M273" i="3"/>
  <c r="K273" i="3"/>
  <c r="L273" i="3" s="1"/>
  <c r="M272" i="3"/>
  <c r="K272" i="3"/>
  <c r="L272" i="3" s="1"/>
  <c r="M271" i="3"/>
  <c r="K271" i="3"/>
  <c r="L271" i="3" s="1"/>
  <c r="M270" i="3"/>
  <c r="D35" i="1" s="1"/>
  <c r="H35" i="2" s="1"/>
  <c r="K270" i="3"/>
  <c r="L270" i="3" s="1"/>
  <c r="E35" i="1" s="1"/>
  <c r="I35" i="2" s="1"/>
  <c r="M269" i="3"/>
  <c r="K269" i="3"/>
  <c r="L269" i="3" s="1"/>
  <c r="M268" i="3"/>
  <c r="K268" i="3"/>
  <c r="L268" i="3" s="1"/>
  <c r="M266" i="3"/>
  <c r="K266" i="3"/>
  <c r="L266" i="3" s="1"/>
  <c r="K265" i="3"/>
  <c r="L265" i="3" s="1"/>
  <c r="E34" i="1" s="1"/>
  <c r="I34" i="2" s="1"/>
  <c r="M265" i="3"/>
  <c r="D34" i="1" s="1"/>
  <c r="H34" i="2" s="1"/>
  <c r="M264" i="3"/>
  <c r="K264" i="3"/>
  <c r="L264" i="3" s="1"/>
  <c r="K262" i="3"/>
  <c r="L262" i="3" s="1"/>
  <c r="M262" i="3"/>
  <c r="M261" i="3"/>
  <c r="K261" i="3"/>
  <c r="L261" i="3" s="1"/>
  <c r="M260" i="3"/>
  <c r="K260" i="3"/>
  <c r="L260" i="3" s="1"/>
  <c r="M259" i="3"/>
  <c r="K259" i="3"/>
  <c r="L259" i="3" s="1"/>
  <c r="M258" i="3"/>
  <c r="K258" i="3"/>
  <c r="L258" i="3" s="1"/>
  <c r="M257" i="3"/>
  <c r="K257" i="3"/>
  <c r="L257" i="3" s="1"/>
  <c r="M256" i="3"/>
  <c r="K256" i="3"/>
  <c r="L256" i="3" s="1"/>
  <c r="M255" i="3"/>
  <c r="K255" i="3"/>
  <c r="L255" i="3" s="1"/>
  <c r="K254" i="3"/>
  <c r="L254" i="3" s="1"/>
  <c r="E33" i="1" s="1"/>
  <c r="I33" i="2" s="1"/>
  <c r="M254" i="3"/>
  <c r="D33" i="1" s="1"/>
  <c r="H33" i="2" s="1"/>
  <c r="K253" i="3"/>
  <c r="L253" i="3" s="1"/>
  <c r="M253" i="3"/>
  <c r="M252" i="3"/>
  <c r="K252" i="3"/>
  <c r="L252" i="3" s="1"/>
  <c r="M251" i="3"/>
  <c r="K251" i="3"/>
  <c r="L251" i="3" s="1"/>
  <c r="M250" i="3"/>
  <c r="K250" i="3"/>
  <c r="L250" i="3" s="1"/>
  <c r="M249" i="3"/>
  <c r="D32" i="1" s="1"/>
  <c r="H32" i="2" s="1"/>
  <c r="K249" i="3"/>
  <c r="L249" i="3" s="1"/>
  <c r="E32" i="1" s="1"/>
  <c r="I32" i="2" s="1"/>
  <c r="M246" i="3"/>
  <c r="D31" i="1" s="1"/>
  <c r="H31" i="2" s="1"/>
  <c r="K246" i="3"/>
  <c r="L246" i="3" s="1"/>
  <c r="E31" i="1" s="1"/>
  <c r="I31" i="2" s="1"/>
  <c r="M245" i="3"/>
  <c r="K245" i="3"/>
  <c r="L245" i="3" s="1"/>
  <c r="M244" i="3"/>
  <c r="K244" i="3"/>
  <c r="L244" i="3" s="1"/>
  <c r="M242" i="3"/>
  <c r="K242" i="3"/>
  <c r="L242" i="3" s="1"/>
  <c r="M241" i="3"/>
  <c r="K241" i="3"/>
  <c r="L241" i="3" s="1"/>
  <c r="M239" i="3"/>
  <c r="K239" i="3"/>
  <c r="L239" i="3" s="1"/>
  <c r="M238" i="3"/>
  <c r="K238" i="3"/>
  <c r="L238" i="3" s="1"/>
  <c r="M237" i="3"/>
  <c r="K237" i="3"/>
  <c r="L237" i="3" s="1"/>
  <c r="M236" i="3"/>
  <c r="K236" i="3"/>
  <c r="L236" i="3" s="1"/>
  <c r="M235" i="3"/>
  <c r="K235" i="3"/>
  <c r="L235" i="3" s="1"/>
  <c r="M234" i="3"/>
  <c r="K234" i="3"/>
  <c r="L234" i="3" s="1"/>
  <c r="M233" i="3"/>
  <c r="K233" i="3"/>
  <c r="L233" i="3" s="1"/>
  <c r="M232" i="3"/>
  <c r="D30" i="1" s="1"/>
  <c r="H30" i="2" s="1"/>
  <c r="K232" i="3"/>
  <c r="L232" i="3" s="1"/>
  <c r="E30" i="1" s="1"/>
  <c r="I30" i="2" s="1"/>
  <c r="M231" i="3"/>
  <c r="K231" i="3"/>
  <c r="L231" i="3" s="1"/>
  <c r="M230" i="3"/>
  <c r="K230" i="3"/>
  <c r="L230" i="3" s="1"/>
  <c r="M229" i="3"/>
  <c r="K229" i="3"/>
  <c r="L229" i="3" s="1"/>
  <c r="M228" i="3"/>
  <c r="K228" i="3"/>
  <c r="L228" i="3" s="1"/>
  <c r="M227" i="3"/>
  <c r="D29" i="1" s="1"/>
  <c r="H29" i="2" s="1"/>
  <c r="K227" i="3"/>
  <c r="L227" i="3" s="1"/>
  <c r="E29" i="1" s="1"/>
  <c r="I29" i="2" s="1"/>
  <c r="M226" i="3"/>
  <c r="K226" i="3"/>
  <c r="L226" i="3" s="1"/>
  <c r="M225" i="3"/>
  <c r="K225" i="3"/>
  <c r="L225" i="3" s="1"/>
  <c r="M224" i="3"/>
  <c r="K224" i="3"/>
  <c r="L224" i="3" s="1"/>
  <c r="M223" i="3"/>
  <c r="K223" i="3"/>
  <c r="L223" i="3" s="1"/>
  <c r="K222" i="3"/>
  <c r="L222" i="3" s="1"/>
  <c r="M222" i="3"/>
  <c r="M221" i="3"/>
  <c r="K221" i="3"/>
  <c r="L221" i="3" s="1"/>
  <c r="M220" i="3"/>
  <c r="K220" i="3"/>
  <c r="L220" i="3" s="1"/>
  <c r="M219" i="3"/>
  <c r="D28" i="1" s="1"/>
  <c r="H28" i="2" s="1"/>
  <c r="K219" i="3"/>
  <c r="L219" i="3" s="1"/>
  <c r="E28" i="1" s="1"/>
  <c r="I28" i="2" s="1"/>
  <c r="M218" i="3"/>
  <c r="K218" i="3"/>
  <c r="L218" i="3" s="1"/>
  <c r="M217" i="3"/>
  <c r="K217" i="3"/>
  <c r="L217" i="3" s="1"/>
  <c r="M216" i="3"/>
  <c r="K216" i="3"/>
  <c r="L216" i="3" s="1"/>
  <c r="M215" i="3"/>
  <c r="K215" i="3"/>
  <c r="L215" i="3" s="1"/>
  <c r="M214" i="3"/>
  <c r="K214" i="3"/>
  <c r="L214" i="3" s="1"/>
  <c r="M213" i="3"/>
  <c r="K213" i="3"/>
  <c r="L213" i="3" s="1"/>
  <c r="M212" i="3"/>
  <c r="K212" i="3"/>
  <c r="L212" i="3" s="1"/>
  <c r="M211" i="3"/>
  <c r="K211" i="3"/>
  <c r="L211" i="3" s="1"/>
  <c r="M210" i="3"/>
  <c r="K210" i="3"/>
  <c r="L210" i="3" s="1"/>
  <c r="M209" i="3"/>
  <c r="K209" i="3"/>
  <c r="L209" i="3" s="1"/>
  <c r="M207" i="3"/>
  <c r="K207" i="3"/>
  <c r="L207" i="3" s="1"/>
  <c r="M206" i="3"/>
  <c r="D27" i="1" s="1"/>
  <c r="H27" i="2" s="1"/>
  <c r="K206" i="3"/>
  <c r="L206" i="3" s="1"/>
  <c r="E27" i="1" s="1"/>
  <c r="I27" i="2" s="1"/>
  <c r="M205" i="3"/>
  <c r="K205" i="3"/>
  <c r="L205" i="3" s="1"/>
  <c r="M204" i="3"/>
  <c r="K204" i="3"/>
  <c r="L204" i="3" s="1"/>
  <c r="M203" i="3"/>
  <c r="K203" i="3"/>
  <c r="L203" i="3" s="1"/>
  <c r="M202" i="3"/>
  <c r="K202" i="3"/>
  <c r="L202" i="3" s="1"/>
  <c r="K201" i="3"/>
  <c r="L201" i="3" s="1"/>
  <c r="E26" i="1" s="1"/>
  <c r="I26" i="2" s="1"/>
  <c r="M201" i="3"/>
  <c r="D26" i="1" s="1"/>
  <c r="H26" i="2" s="1"/>
  <c r="M200" i="3"/>
  <c r="K200" i="3"/>
  <c r="L200" i="3" s="1"/>
  <c r="M199" i="3"/>
  <c r="K199" i="3"/>
  <c r="L199" i="3" s="1"/>
  <c r="M198" i="3"/>
  <c r="K198" i="3"/>
  <c r="L198" i="3" s="1"/>
  <c r="M197" i="3"/>
  <c r="K197" i="3"/>
  <c r="L197" i="3" s="1"/>
  <c r="M196" i="3"/>
  <c r="K196" i="3"/>
  <c r="L196" i="3" s="1"/>
  <c r="M195" i="3"/>
  <c r="K195" i="3"/>
  <c r="L195" i="3" s="1"/>
  <c r="M194" i="3"/>
  <c r="K194" i="3"/>
  <c r="L194" i="3" s="1"/>
  <c r="M193" i="3"/>
  <c r="K193" i="3"/>
  <c r="L193" i="3" s="1"/>
  <c r="M192" i="3"/>
  <c r="D24" i="1" s="1"/>
  <c r="H24" i="2" s="1"/>
  <c r="K192" i="3"/>
  <c r="L192" i="3" s="1"/>
  <c r="E24" i="1" s="1"/>
  <c r="I24" i="2" s="1"/>
  <c r="K191" i="3"/>
  <c r="L191" i="3" s="1"/>
  <c r="M191" i="3"/>
  <c r="M190" i="3"/>
  <c r="K190" i="3"/>
  <c r="L190" i="3" s="1"/>
  <c r="M189" i="3"/>
  <c r="K189" i="3"/>
  <c r="L189" i="3" s="1"/>
  <c r="M188" i="3"/>
  <c r="K188" i="3"/>
  <c r="L188" i="3" s="1"/>
  <c r="M187" i="3"/>
  <c r="K187" i="3"/>
  <c r="L187" i="3" s="1"/>
  <c r="M186" i="3"/>
  <c r="K186" i="3"/>
  <c r="L186" i="3" s="1"/>
  <c r="M185" i="3"/>
  <c r="D23" i="1" s="1"/>
  <c r="H23" i="2" s="1"/>
  <c r="K185" i="3"/>
  <c r="L185" i="3" s="1"/>
  <c r="E23" i="1" s="1"/>
  <c r="I23" i="2" s="1"/>
  <c r="M183" i="3"/>
  <c r="K183" i="3"/>
  <c r="L183" i="3" s="1"/>
  <c r="M182" i="3"/>
  <c r="K182" i="3"/>
  <c r="L182" i="3" s="1"/>
  <c r="M181" i="3"/>
  <c r="K181" i="3"/>
  <c r="L181" i="3" s="1"/>
  <c r="M180" i="3"/>
  <c r="K180" i="3"/>
  <c r="L180" i="3" s="1"/>
  <c r="K179" i="3"/>
  <c r="L179" i="3" s="1"/>
  <c r="M179" i="3"/>
  <c r="M178" i="3"/>
  <c r="K178" i="3"/>
  <c r="L178" i="3" s="1"/>
  <c r="M177" i="3"/>
  <c r="D22" i="1" s="1"/>
  <c r="H22" i="2" s="1"/>
  <c r="K177" i="3"/>
  <c r="L177" i="3" s="1"/>
  <c r="E22" i="1" s="1"/>
  <c r="I22" i="2" s="1"/>
  <c r="M176" i="3"/>
  <c r="K176" i="3"/>
  <c r="L176" i="3" s="1"/>
  <c r="M175" i="3"/>
  <c r="K175" i="3"/>
  <c r="L175" i="3" s="1"/>
  <c r="M174" i="3"/>
  <c r="K174" i="3"/>
  <c r="L174" i="3" s="1"/>
  <c r="M173" i="3"/>
  <c r="K173" i="3"/>
  <c r="L173" i="3" s="1"/>
  <c r="M172" i="3"/>
  <c r="K172" i="3"/>
  <c r="L172" i="3" s="1"/>
  <c r="M171" i="3"/>
  <c r="D21" i="1" s="1"/>
  <c r="H21" i="2" s="1"/>
  <c r="K171" i="3"/>
  <c r="L171" i="3" s="1"/>
  <c r="E21" i="1" s="1"/>
  <c r="I21" i="2" s="1"/>
  <c r="M170" i="3"/>
  <c r="K170" i="3"/>
  <c r="L170" i="3" s="1"/>
  <c r="M169" i="3"/>
  <c r="K169" i="3"/>
  <c r="L169" i="3" s="1"/>
  <c r="M168" i="3"/>
  <c r="K168" i="3"/>
  <c r="L168" i="3" s="1"/>
  <c r="M167" i="3"/>
  <c r="K167" i="3"/>
  <c r="L167" i="3" s="1"/>
  <c r="M166" i="3"/>
  <c r="K166" i="3"/>
  <c r="L166" i="3" s="1"/>
  <c r="M165" i="3"/>
  <c r="K165" i="3"/>
  <c r="L165" i="3" s="1"/>
  <c r="M164" i="3"/>
  <c r="K164" i="3"/>
  <c r="L164" i="3" s="1"/>
  <c r="M163" i="3"/>
  <c r="K163" i="3"/>
  <c r="L163" i="3" s="1"/>
  <c r="M162" i="3"/>
  <c r="K162" i="3"/>
  <c r="L162" i="3" s="1"/>
  <c r="M161" i="3"/>
  <c r="K161" i="3"/>
  <c r="L161" i="3" s="1"/>
  <c r="M160" i="3"/>
  <c r="D20" i="1" s="1"/>
  <c r="H20" i="2" s="1"/>
  <c r="K160" i="3"/>
  <c r="L160" i="3" s="1"/>
  <c r="E20" i="1" s="1"/>
  <c r="I20" i="2" s="1"/>
  <c r="M159" i="3"/>
  <c r="K159" i="3"/>
  <c r="L159" i="3" s="1"/>
  <c r="M157" i="3"/>
  <c r="K157" i="3"/>
  <c r="L157" i="3" s="1"/>
  <c r="M156" i="3"/>
  <c r="K156" i="3"/>
  <c r="L156" i="3" s="1"/>
  <c r="M155" i="3"/>
  <c r="D19" i="1" s="1"/>
  <c r="H19" i="2" s="1"/>
  <c r="K155" i="3"/>
  <c r="L155" i="3" s="1"/>
  <c r="E19" i="1" s="1"/>
  <c r="I19" i="2" s="1"/>
  <c r="M153" i="3"/>
  <c r="K153" i="3"/>
  <c r="L153" i="3" s="1"/>
  <c r="M152" i="3"/>
  <c r="K152" i="3"/>
  <c r="L152" i="3" s="1"/>
  <c r="M150" i="3"/>
  <c r="K150" i="3"/>
  <c r="L150" i="3" s="1"/>
  <c r="M149" i="3"/>
  <c r="K149" i="3"/>
  <c r="L149" i="3" s="1"/>
  <c r="M148" i="3"/>
  <c r="K148" i="3"/>
  <c r="L148" i="3" s="1"/>
  <c r="M147" i="3"/>
  <c r="K147" i="3"/>
  <c r="L147" i="3" s="1"/>
  <c r="M146" i="3"/>
  <c r="K146" i="3"/>
  <c r="L146" i="3" s="1"/>
  <c r="M145" i="3"/>
  <c r="K145" i="3"/>
  <c r="L145" i="3" s="1"/>
  <c r="M144" i="3"/>
  <c r="K144" i="3"/>
  <c r="L144" i="3" s="1"/>
  <c r="M143" i="3"/>
  <c r="K143" i="3"/>
  <c r="L143" i="3" s="1"/>
  <c r="M142" i="3"/>
  <c r="K142" i="3"/>
  <c r="L142" i="3" s="1"/>
  <c r="M140" i="3"/>
  <c r="K140" i="3"/>
  <c r="L140" i="3" s="1"/>
  <c r="M139" i="3"/>
  <c r="K139" i="3"/>
  <c r="L139" i="3" s="1"/>
  <c r="M138" i="3"/>
  <c r="K138" i="3"/>
  <c r="L138" i="3" s="1"/>
  <c r="M137" i="3"/>
  <c r="K137" i="3"/>
  <c r="L137" i="3" s="1"/>
  <c r="M136" i="3"/>
  <c r="K136" i="3"/>
  <c r="L136" i="3" s="1"/>
  <c r="M135" i="3"/>
  <c r="K135" i="3"/>
  <c r="L135" i="3" s="1"/>
  <c r="M134" i="3"/>
  <c r="K134" i="3"/>
  <c r="L134" i="3" s="1"/>
  <c r="M133" i="3"/>
  <c r="K133" i="3"/>
  <c r="L133" i="3" s="1"/>
  <c r="M132" i="3"/>
  <c r="D17" i="1" s="1"/>
  <c r="H17" i="2" s="1"/>
  <c r="K132" i="3"/>
  <c r="L132" i="3" s="1"/>
  <c r="E17" i="1" s="1"/>
  <c r="I17" i="2" s="1"/>
  <c r="M131" i="3"/>
  <c r="K131" i="3"/>
  <c r="L131" i="3" s="1"/>
  <c r="M130" i="3"/>
  <c r="K130" i="3"/>
  <c r="L130" i="3" s="1"/>
  <c r="M129" i="3"/>
  <c r="K129" i="3"/>
  <c r="L129" i="3" s="1"/>
  <c r="M128" i="3"/>
  <c r="K128" i="3"/>
  <c r="L128" i="3" s="1"/>
  <c r="M127" i="3"/>
  <c r="K127" i="3"/>
  <c r="L127" i="3" s="1"/>
  <c r="M126" i="3"/>
  <c r="K126" i="3"/>
  <c r="L126" i="3" s="1"/>
  <c r="M125" i="3"/>
  <c r="K125" i="3"/>
  <c r="L125" i="3" s="1"/>
  <c r="M124" i="3"/>
  <c r="K124" i="3"/>
  <c r="L124" i="3" s="1"/>
  <c r="M123" i="3"/>
  <c r="D16" i="1" s="1"/>
  <c r="H16" i="2" s="1"/>
  <c r="K123" i="3"/>
  <c r="L123" i="3" s="1"/>
  <c r="E16" i="1" s="1"/>
  <c r="I16" i="2" s="1"/>
  <c r="M122" i="3"/>
  <c r="K122" i="3"/>
  <c r="L122" i="3" s="1"/>
  <c r="M121" i="3"/>
  <c r="K121" i="3"/>
  <c r="L121" i="3" s="1"/>
  <c r="M120" i="3"/>
  <c r="K120" i="3"/>
  <c r="L120" i="3" s="1"/>
  <c r="M119" i="3"/>
  <c r="K119" i="3"/>
  <c r="L119" i="3" s="1"/>
  <c r="M118" i="3"/>
  <c r="K118" i="3"/>
  <c r="L118" i="3" s="1"/>
  <c r="M117" i="3"/>
  <c r="D15" i="1" s="1"/>
  <c r="H15" i="2" s="1"/>
  <c r="K117" i="3"/>
  <c r="L117" i="3" s="1"/>
  <c r="E15" i="1" s="1"/>
  <c r="I15" i="2" s="1"/>
  <c r="M115" i="3"/>
  <c r="K115" i="3"/>
  <c r="L115" i="3" s="1"/>
  <c r="M112" i="3"/>
  <c r="K112" i="3"/>
  <c r="L112" i="3" s="1"/>
  <c r="M111" i="3"/>
  <c r="K111" i="3"/>
  <c r="L111" i="3" s="1"/>
  <c r="M110" i="3"/>
  <c r="K110" i="3"/>
  <c r="L110" i="3" s="1"/>
  <c r="M109" i="3"/>
  <c r="D14" i="1" s="1"/>
  <c r="H14" i="2" s="1"/>
  <c r="K109" i="3"/>
  <c r="L109" i="3" s="1"/>
  <c r="E14" i="1" s="1"/>
  <c r="I14" i="2" s="1"/>
  <c r="M108" i="3"/>
  <c r="K108" i="3"/>
  <c r="L108" i="3" s="1"/>
  <c r="M107" i="3"/>
  <c r="K107" i="3"/>
  <c r="L107" i="3" s="1"/>
  <c r="M106" i="3"/>
  <c r="K106" i="3"/>
  <c r="L106" i="3" s="1"/>
  <c r="M105" i="3"/>
  <c r="K105" i="3"/>
  <c r="L105" i="3" s="1"/>
  <c r="M103" i="3"/>
  <c r="K103" i="3"/>
  <c r="L103" i="3" s="1"/>
  <c r="M102" i="3"/>
  <c r="K102" i="3"/>
  <c r="L102" i="3" s="1"/>
  <c r="M101" i="3"/>
  <c r="D13" i="1" s="1"/>
  <c r="H13" i="2" s="1"/>
  <c r="K101" i="3"/>
  <c r="L101" i="3" s="1"/>
  <c r="E13" i="1" s="1"/>
  <c r="I13" i="2" s="1"/>
  <c r="M100" i="3"/>
  <c r="K100" i="3"/>
  <c r="L100" i="3" s="1"/>
  <c r="M99" i="3"/>
  <c r="K99" i="3"/>
  <c r="L99" i="3" s="1"/>
  <c r="M98" i="3"/>
  <c r="K98" i="3"/>
  <c r="L98" i="3" s="1"/>
  <c r="M96" i="3"/>
  <c r="K96" i="3"/>
  <c r="L96" i="3" s="1"/>
  <c r="M95" i="3"/>
  <c r="K95" i="3"/>
  <c r="L95" i="3" s="1"/>
  <c r="M94" i="3"/>
  <c r="K94" i="3"/>
  <c r="L94" i="3" s="1"/>
  <c r="M93" i="3"/>
  <c r="K93" i="3"/>
  <c r="L93" i="3" s="1"/>
  <c r="M92" i="3"/>
  <c r="K92" i="3"/>
  <c r="L92" i="3" s="1"/>
  <c r="M91" i="3"/>
  <c r="K91" i="3"/>
  <c r="L91" i="3" s="1"/>
  <c r="M90" i="3"/>
  <c r="K90" i="3"/>
  <c r="L90" i="3" s="1"/>
  <c r="M89" i="3"/>
  <c r="K89" i="3"/>
  <c r="L89" i="3" s="1"/>
  <c r="M88" i="3"/>
  <c r="K88" i="3"/>
  <c r="L88" i="3" s="1"/>
  <c r="M87" i="3"/>
  <c r="K87" i="3"/>
  <c r="L87" i="3" s="1"/>
  <c r="M86" i="3"/>
  <c r="K86" i="3"/>
  <c r="L86" i="3" s="1"/>
  <c r="M85" i="3"/>
  <c r="K85" i="3"/>
  <c r="L85" i="3" s="1"/>
  <c r="M84" i="3"/>
  <c r="K84" i="3"/>
  <c r="L84" i="3" s="1"/>
  <c r="M83" i="3"/>
  <c r="D11" i="1" s="1"/>
  <c r="H11" i="2" s="1"/>
  <c r="K83" i="3"/>
  <c r="L83" i="3" s="1"/>
  <c r="E11" i="1" s="1"/>
  <c r="I11" i="2" s="1"/>
  <c r="M81" i="3"/>
  <c r="K81" i="3"/>
  <c r="L81" i="3" s="1"/>
  <c r="M80" i="3"/>
  <c r="K80" i="3"/>
  <c r="L80" i="3" s="1"/>
  <c r="M79" i="3"/>
  <c r="K79" i="3"/>
  <c r="L79" i="3" s="1"/>
  <c r="M78" i="3"/>
  <c r="K78" i="3"/>
  <c r="L78" i="3" s="1"/>
  <c r="M77" i="3"/>
  <c r="D10" i="1" s="1"/>
  <c r="H10" i="2" s="1"/>
  <c r="K77" i="3"/>
  <c r="L77" i="3" s="1"/>
  <c r="E10" i="1" s="1"/>
  <c r="I10" i="2" s="1"/>
  <c r="M76" i="3"/>
  <c r="K76" i="3"/>
  <c r="L76" i="3" s="1"/>
  <c r="M75" i="3"/>
  <c r="K75" i="3"/>
  <c r="L75" i="3" s="1"/>
  <c r="M74" i="3"/>
  <c r="K74" i="3"/>
  <c r="L74" i="3" s="1"/>
  <c r="M73" i="3"/>
  <c r="K73" i="3"/>
  <c r="L73" i="3" s="1"/>
  <c r="M72" i="3"/>
  <c r="K72" i="3"/>
  <c r="L72" i="3" s="1"/>
  <c r="M71" i="3"/>
  <c r="K71" i="3"/>
  <c r="L71" i="3" s="1"/>
  <c r="M70" i="3"/>
  <c r="K70" i="3"/>
  <c r="L70" i="3" s="1"/>
  <c r="M69" i="3"/>
  <c r="K69" i="3"/>
  <c r="L69" i="3" s="1"/>
  <c r="M68" i="3"/>
  <c r="K68" i="3"/>
  <c r="L68" i="3" s="1"/>
  <c r="M67" i="3"/>
  <c r="K67" i="3"/>
  <c r="L67" i="3" s="1"/>
  <c r="M66" i="3"/>
  <c r="K66" i="3"/>
  <c r="L66" i="3" s="1"/>
  <c r="M65" i="3"/>
  <c r="K65" i="3"/>
  <c r="L65" i="3" s="1"/>
  <c r="M64" i="3"/>
  <c r="K64" i="3"/>
  <c r="L64" i="3" s="1"/>
  <c r="M63" i="3"/>
  <c r="D9" i="1" s="1"/>
  <c r="H9" i="2" s="1"/>
  <c r="K63" i="3"/>
  <c r="L63" i="3" s="1"/>
  <c r="E9" i="1" s="1"/>
  <c r="I9" i="2" s="1"/>
  <c r="M62" i="3"/>
  <c r="K62" i="3"/>
  <c r="L62" i="3" s="1"/>
  <c r="M61" i="3"/>
  <c r="K61" i="3"/>
  <c r="L61" i="3" s="1"/>
  <c r="M59" i="3"/>
  <c r="K59" i="3"/>
  <c r="L59" i="3" s="1"/>
  <c r="M58" i="3"/>
  <c r="K58" i="3"/>
  <c r="L58" i="3" s="1"/>
  <c r="M57" i="3"/>
  <c r="D8" i="1" s="1"/>
  <c r="H8" i="2" s="1"/>
  <c r="K57" i="3"/>
  <c r="L57" i="3" s="1"/>
  <c r="E8" i="1" s="1"/>
  <c r="I8" i="2" s="1"/>
  <c r="M56" i="3"/>
  <c r="K56" i="3"/>
  <c r="L56" i="3" s="1"/>
  <c r="M54" i="3"/>
  <c r="K54" i="3"/>
  <c r="L54" i="3" s="1"/>
  <c r="M53" i="3"/>
  <c r="K53" i="3"/>
  <c r="L53" i="3" s="1"/>
  <c r="M52" i="3"/>
  <c r="K52" i="3"/>
  <c r="L52" i="3" s="1"/>
  <c r="M51" i="3"/>
  <c r="K51" i="3"/>
  <c r="L51" i="3" s="1"/>
  <c r="M50" i="3"/>
  <c r="D7" i="1" s="1"/>
  <c r="H7" i="2" s="1"/>
  <c r="K50" i="3"/>
  <c r="L50" i="3" s="1"/>
  <c r="E7" i="1" s="1"/>
  <c r="I7" i="2" s="1"/>
  <c r="M49" i="3"/>
  <c r="K49" i="3"/>
  <c r="L49" i="3" s="1"/>
  <c r="M48" i="3"/>
  <c r="K48" i="3"/>
  <c r="L48" i="3" s="1"/>
  <c r="M45" i="3"/>
  <c r="K45" i="3"/>
  <c r="L45" i="3" s="1"/>
  <c r="M43" i="3"/>
  <c r="K43" i="3"/>
  <c r="L43" i="3" s="1"/>
  <c r="M42" i="3"/>
  <c r="K42" i="3"/>
  <c r="L42" i="3" s="1"/>
  <c r="M41" i="3"/>
  <c r="K41" i="3"/>
  <c r="L41" i="3" s="1"/>
  <c r="M40" i="3"/>
  <c r="K40" i="3"/>
  <c r="L40" i="3" s="1"/>
  <c r="M39" i="3"/>
  <c r="K39" i="3"/>
  <c r="L39" i="3" s="1"/>
  <c r="M38" i="3"/>
  <c r="K38" i="3"/>
  <c r="L38" i="3" s="1"/>
  <c r="M37" i="3"/>
  <c r="K37" i="3"/>
  <c r="L37" i="3" s="1"/>
  <c r="M36" i="3"/>
  <c r="K36" i="3"/>
  <c r="L36" i="3" s="1"/>
  <c r="M35" i="3"/>
  <c r="D6" i="1" s="1"/>
  <c r="H6" i="2" s="1"/>
  <c r="K35" i="3"/>
  <c r="L35" i="3" s="1"/>
  <c r="E6" i="1" s="1"/>
  <c r="I6" i="2" s="1"/>
  <c r="M33" i="3"/>
  <c r="K33" i="3"/>
  <c r="L33" i="3" s="1"/>
  <c r="M32" i="3"/>
  <c r="K32" i="3"/>
  <c r="L32" i="3" s="1"/>
  <c r="M31" i="3"/>
  <c r="K31" i="3"/>
  <c r="L31" i="3" s="1"/>
  <c r="M29" i="3"/>
  <c r="K29" i="3"/>
  <c r="L29" i="3" s="1"/>
  <c r="M28" i="3"/>
  <c r="K28" i="3"/>
  <c r="L28" i="3" s="1"/>
  <c r="M27" i="3"/>
  <c r="K27" i="3"/>
  <c r="L27" i="3" s="1"/>
  <c r="M26" i="3"/>
  <c r="K26" i="3"/>
  <c r="L26" i="3" s="1"/>
  <c r="M25" i="3"/>
  <c r="D5" i="1" s="1"/>
  <c r="H5" i="2" s="1"/>
  <c r="K25" i="3"/>
  <c r="L25" i="3" s="1"/>
  <c r="E5" i="1" s="1"/>
  <c r="I5" i="2" s="1"/>
  <c r="M23" i="3"/>
  <c r="K23" i="3"/>
  <c r="L23" i="3" s="1"/>
  <c r="M22" i="3"/>
  <c r="K22" i="3"/>
  <c r="L22" i="3" s="1"/>
  <c r="M21" i="3"/>
  <c r="K21" i="3"/>
  <c r="L21" i="3" s="1"/>
  <c r="M20" i="3"/>
  <c r="K20" i="3"/>
  <c r="L20" i="3" s="1"/>
  <c r="M19" i="3"/>
  <c r="K19" i="3"/>
  <c r="L19" i="3" s="1"/>
  <c r="M18" i="3"/>
  <c r="K18" i="3"/>
  <c r="L18" i="3" s="1"/>
  <c r="M17" i="3"/>
  <c r="K17" i="3"/>
  <c r="L17" i="3" s="1"/>
  <c r="M16" i="3"/>
  <c r="D4" i="1" s="1"/>
  <c r="H4" i="2" s="1"/>
  <c r="K16" i="3"/>
  <c r="L16" i="3" s="1"/>
  <c r="E4" i="1" s="1"/>
  <c r="I4" i="2" s="1"/>
  <c r="M15" i="3"/>
  <c r="K15" i="3"/>
  <c r="L15" i="3" s="1"/>
  <c r="M14" i="3"/>
  <c r="K14" i="3"/>
  <c r="L14" i="3" s="1"/>
  <c r="M13" i="3"/>
  <c r="K13" i="3"/>
  <c r="L13" i="3" s="1"/>
  <c r="M12" i="3"/>
  <c r="K12" i="3"/>
  <c r="L12" i="3" s="1"/>
  <c r="M11" i="3"/>
  <c r="K11" i="3"/>
  <c r="L11" i="3" s="1"/>
  <c r="M10" i="3"/>
  <c r="K10" i="3"/>
  <c r="L10" i="3" s="1"/>
  <c r="M9" i="3"/>
  <c r="D3" i="1" s="1"/>
  <c r="H3" i="2" s="1"/>
  <c r="K9" i="3"/>
  <c r="L9" i="3" s="1"/>
  <c r="E3" i="1" s="1"/>
  <c r="I3" i="2" s="1"/>
  <c r="M8" i="3"/>
  <c r="K8" i="3"/>
  <c r="L8" i="3" s="1"/>
  <c r="M7" i="3"/>
  <c r="K7" i="3"/>
  <c r="L7" i="3" s="1"/>
  <c r="M6" i="3"/>
  <c r="K6" i="3"/>
  <c r="L6" i="3" s="1"/>
  <c r="M5" i="3"/>
  <c r="K5" i="3"/>
  <c r="L5" i="3" s="1"/>
  <c r="M4" i="3"/>
  <c r="K4" i="3"/>
  <c r="L4" i="3" s="1"/>
  <c r="M3" i="3"/>
  <c r="K3" i="3"/>
  <c r="L3" i="3" s="1"/>
  <c r="M2" i="3"/>
  <c r="K2" i="3"/>
  <c r="L2" i="3" s="1"/>
  <c r="E67" i="1"/>
  <c r="I67" i="2" s="1"/>
  <c r="D67" i="1"/>
  <c r="H67" i="2" s="1"/>
  <c r="D2" i="1" l="1"/>
  <c r="M561" i="3"/>
  <c r="E2" i="1"/>
  <c r="E57" i="1"/>
  <c r="I57" i="2" s="1"/>
  <c r="D57" i="1"/>
  <c r="H57" i="2" s="1"/>
  <c r="D50" i="1"/>
  <c r="H50" i="2" s="1"/>
  <c r="E50" i="1"/>
  <c r="I50" i="2" s="1"/>
  <c r="D39" i="1"/>
  <c r="H39" i="2" s="1"/>
  <c r="E39" i="1"/>
  <c r="I39" i="2" s="1"/>
  <c r="E61" i="1"/>
  <c r="I61" i="2" s="1"/>
  <c r="D25" i="1"/>
  <c r="H25" i="2" s="1"/>
  <c r="E25" i="1"/>
  <c r="I25" i="2" s="1"/>
  <c r="D18" i="1"/>
  <c r="H18" i="2" s="1"/>
  <c r="E18" i="1"/>
  <c r="I18" i="2" s="1"/>
  <c r="D12" i="1"/>
  <c r="H12" i="2" s="1"/>
  <c r="E12" i="1"/>
  <c r="I12" i="2" s="1"/>
  <c r="E62" i="1"/>
  <c r="I62" i="2" s="1"/>
  <c r="L527" i="3"/>
  <c r="E64" i="1" s="1"/>
  <c r="I64" i="2" s="1"/>
  <c r="L523" i="3"/>
  <c r="L531" i="3"/>
  <c r="E65" i="1" s="1"/>
  <c r="I65" i="2" s="1"/>
  <c r="D70" i="1" l="1"/>
  <c r="H2" i="2"/>
  <c r="E70" i="1"/>
  <c r="I2" i="2"/>
  <c r="E63" i="1"/>
  <c r="I63" i="2" s="1"/>
  <c r="L561" i="3"/>
</calcChain>
</file>

<file path=xl/sharedStrings.xml><?xml version="1.0" encoding="utf-8"?>
<sst xmlns="http://schemas.openxmlformats.org/spreadsheetml/2006/main" count="6709" uniqueCount="1420">
  <si>
    <t>#</t>
  </si>
  <si>
    <t>Recipe</t>
  </si>
  <si>
    <t>Category</t>
  </si>
  <si>
    <t>Cost per make (R)</t>
  </si>
  <si>
    <t>Shop-from-scratch cost (R)</t>
  </si>
  <si>
    <t>Lines costed</t>
  </si>
  <si>
    <t>Substitutes / assumed amounts</t>
  </si>
  <si>
    <t>Not at Woolworths</t>
  </si>
  <si>
    <t>Basics left out</t>
  </si>
  <si>
    <t>Post link</t>
  </si>
  <si>
    <t>Easy Chicken Pie</t>
  </si>
  <si>
    <t>Mains</t>
  </si>
  <si>
    <t>Open post</t>
  </si>
  <si>
    <t>Bougie-Up Your Veg (toppings)</t>
  </si>
  <si>
    <t>Sides &amp; salads</t>
  </si>
  <si>
    <t>Spinach &amp; Feta Filo Tart</t>
  </si>
  <si>
    <t>Pampoen Tert (lower-sugar)</t>
  </si>
  <si>
    <t>Baking &amp; sweet treats</t>
  </si>
  <si>
    <t>Sticky Glazed Meatloaf</t>
  </si>
  <si>
    <t>Fancy Fish Paste</t>
  </si>
  <si>
    <t>Snacks</t>
  </si>
  <si>
    <t>Easy Yoghurt Dressing</t>
  </si>
  <si>
    <t>Sauces &amp; dressings</t>
  </si>
  <si>
    <t>Hoisin Pork Fillet (with noodles)</t>
  </si>
  <si>
    <t>Crispy Chickpeas</t>
  </si>
  <si>
    <t>Homemade Hot Choccie</t>
  </si>
  <si>
    <t>Drinks</t>
  </si>
  <si>
    <t>Cottage Pie with Crispy Potato &amp; Parmesan Crust</t>
  </si>
  <si>
    <t>Quick &amp; Easy Chicken Parmigiana</t>
  </si>
  <si>
    <t>Bovril Seed Crackers</t>
  </si>
  <si>
    <t>Super Easy Tuna Pasta Bake</t>
  </si>
  <si>
    <t>Cheat's Hoisin Pork Bowls</t>
  </si>
  <si>
    <t>Slow-Cooked Beef Shin (Osso Buco style)</t>
  </si>
  <si>
    <t>Salted Caramel Date Squares</t>
  </si>
  <si>
    <t>Microwave White Sauce</t>
  </si>
  <si>
    <t>Easy Chicken Casserole (One-Pot Chicken Bake)</t>
  </si>
  <si>
    <t>Kids' Sausage Roll</t>
  </si>
  <si>
    <t>Healthier Potato Bake</t>
  </si>
  <si>
    <t>Leftover Steak Beef Stroganoff</t>
  </si>
  <si>
    <t>Yoghurt Curry Chicken Thighs</t>
  </si>
  <si>
    <t>Shortcut Butter Chicken Curry</t>
  </si>
  <si>
    <t>Moroccan Lamb Meatball Bake</t>
  </si>
  <si>
    <t>Easy Slow Cooker Bolognese</t>
  </si>
  <si>
    <t>Baked Coconut Chicken Curry</t>
  </si>
  <si>
    <t>Hearty Chicken Pot Pies</t>
  </si>
  <si>
    <t>Singita Rusks</t>
  </si>
  <si>
    <t>Preserved Lemons</t>
  </si>
  <si>
    <t>Baked Apple Brekkie</t>
  </si>
  <si>
    <t>Breakfast</t>
  </si>
  <si>
    <t>Green Pasta Salad (meal-prep base)</t>
  </si>
  <si>
    <t>Lunch &amp; meal prep</t>
  </si>
  <si>
    <t>Bacon Brussels Sprouts</t>
  </si>
  <si>
    <t>Butternut &amp; Spinach Bake</t>
  </si>
  <si>
    <t>Hearty Chicken Soup</t>
  </si>
  <si>
    <t>Soups</t>
  </si>
  <si>
    <t>Banana Bread Baked Oats</t>
  </si>
  <si>
    <t>Loaded Avo &amp; Egg Bowl</t>
  </si>
  <si>
    <t>Loaded Mex Spuds</t>
  </si>
  <si>
    <t>1 Pot Porkies</t>
  </si>
  <si>
    <t>Roasted Beetroot, Apple &amp; Goat's Cheese Salad</t>
  </si>
  <si>
    <t>Tree Tomato (Tamarillo) Chutney</t>
  </si>
  <si>
    <t>Butternut &amp; Chickpea Curry</t>
  </si>
  <si>
    <t>Strawberries &amp; Cream Fro-Yo</t>
  </si>
  <si>
    <t>Desserts &amp; ice cream</t>
  </si>
  <si>
    <t>One-Pot Lemon Chicken Orzo</t>
  </si>
  <si>
    <t>Smashed Baked Potatoes</t>
  </si>
  <si>
    <t>Low Sugar Choc Crunchies</t>
  </si>
  <si>
    <t>Easy Baked Haddock with Creamy Mozzarella</t>
  </si>
  <si>
    <t>Really Good Green Sauce</t>
  </si>
  <si>
    <t>Roasted Veg Jars</t>
  </si>
  <si>
    <t>Easy Easter Bark</t>
  </si>
  <si>
    <t>Baked Chocolate Oats</t>
  </si>
  <si>
    <t>Hot Cross Bun Ice Cream</t>
  </si>
  <si>
    <t>Carrot Cake Ice Cream</t>
  </si>
  <si>
    <t>Egg Hunt Ice Cream</t>
  </si>
  <si>
    <t>Whole-Roasted Butternut with Feta &amp; Sage</t>
  </si>
  <si>
    <t>Egg Pancakes (with fillings)</t>
  </si>
  <si>
    <t>Mediterranean Meatball Bake</t>
  </si>
  <si>
    <t>Spinach &amp; Feta Egg Muffins</t>
  </si>
  <si>
    <t>Chia &amp; Pear Overnight Oats</t>
  </si>
  <si>
    <t>Roast Veg + Grains Bowl</t>
  </si>
  <si>
    <t>5 Veg Mince (freezer base)</t>
  </si>
  <si>
    <t>Mince in Gems</t>
  </si>
  <si>
    <t>Mince on Mushrooms</t>
  </si>
  <si>
    <t>Low-Carb Cottage Pie (cauli mash)</t>
  </si>
  <si>
    <t>Melanzane (the faster way)</t>
  </si>
  <si>
    <t>Reduced Sugar Peanut Butter Bites</t>
  </si>
  <si>
    <t>Biscoff Crumble Vanilla Ice Cream</t>
  </si>
  <si>
    <t>Average per recipe</t>
  </si>
  <si>
    <t>See the Notes &amp; Assumptions tab for what is and isn't included.</t>
  </si>
  <si>
    <t>Ingredients</t>
  </si>
  <si>
    <t>No. of ingredients</t>
  </si>
  <si>
    <t>Notes</t>
  </si>
  <si>
    <t>• 1 packet fresh chicken soup
• 1 cup lightly cooked vegetables (diced baby marrows &amp; carrots)
• 1 rotisserie chicken (breast &amp; thigh), sliced
• Puff pastry
• 1 egg, for brushing
• Green salad, to serve</t>
  </si>
  <si>
    <t>Bake 180°C ~40 min. Pinned post.</t>
  </si>
  <si>
    <t>https://www.instagram.com/jadeseeliger_dietitian/reel/C4Pw3ETK0PZ/</t>
  </si>
  <si>
    <t>• Cooked vegetables of choice
• Feta, crumbled
• Pomegranate seeds
• Lemon zest
• Balsamic glaze
• Rocket leaves
• Good olive oil</t>
  </si>
  <si>
    <t>A topping idea rather than a full recipe.</t>
  </si>
  <si>
    <t>https://www.instagram.com/jadeseeliger_dietitian/reel/DeE9erkuKNG/</t>
  </si>
  <si>
    <t>• 2–3 sheets filo pastry (+1 extra for topping)
• Olive oil spray
• 500 g spinach
• 2 eggs
• 1 round feta, crumbled
• 1 onion, diced
• Zest of 1 lemon
• Sesame seeds
• Salt</t>
  </si>
  <si>
    <t>Bake 180°C ~30 min.</t>
  </si>
  <si>
    <t>https://www.instagram.com/jadeseeliger_dietitian/reel/Dd8O2VGO5wJ/</t>
  </si>
  <si>
    <t>• 800 g pumpkin, cooked &amp; mashed
• 2 cups flour
• 3 eggs
• ¼ cup sugar
• 3 tsp baking powder
• 1 tsp salt
• 1 Tbsp vanilla essence
• 50 g butter, melted
• Cinnamon &amp; sugar, to sprinkle</t>
  </si>
  <si>
    <t>Bake 180°C 30–35 min.</t>
  </si>
  <si>
    <t>https://www.instagram.com/jadeseeliger_dietitian/reel/Ddy_YDmuIFf/</t>
  </si>
  <si>
    <t>• 1 kg lean beef mince
• 1 medium onion, finely chopped
• 2 green apples, grated
• 2 large eggs
• 3 garlic cloves, minced
• 2 Tbsp tomato sauce
• 3 Tbsp fresh parsley (or 1 Tbsp dried Italian herbs)
• ¾ cup breadcrumbs
• ⅔ cup milk
• 1 tsp salt
• 1 tsp Italian seasoning
• ½ tsp ground black pepper
• Glaze: ⅓ cup tomato sauce
• Glaze: ⅓ cup HP sauce
• Glaze: 2 Tbsp vinegar</t>
  </si>
  <si>
    <t>180°C 40 min, glaze, then 15 min more. Served with mash &amp; petit pois.</t>
  </si>
  <si>
    <t>https://www.instagram.com/jadeseeliger_dietitian/reel/DdndJTwOoVo/</t>
  </si>
  <si>
    <t>• 1 tin sardines, drained
• ½ red onion, chopped
• Lemon juice
• Fresh coriander
• Toast, to serve
• Black pepper
• Chilli oil (optional)</t>
  </si>
  <si>
    <t>Blend and spread on toast.</t>
  </si>
  <si>
    <t>https://www.instagram.com/jadeseeliger_dietitian/reel/DdVYOW3OQ-B/</t>
  </si>
  <si>
    <t>• ½ cup yoghurt
• Juice + zest of 1 lemon
• 1 Tbsp mayonnaise
• Salt &amp; pepper
• Fresh chives, chopped
• 2 garlic cloves, crushed</t>
  </si>
  <si>
    <t>Keeps 3–4 days in the fridge.</t>
  </si>
  <si>
    <t>https://www.instagram.com/jadeseeliger_dietitian/reel/DdRkcBTuh1n/</t>
  </si>
  <si>
    <t>• 4 Tbsp hoisin sauce (+ extra to serve)
• 1 pork fillet, trimmed
• 3 whole-wheat egg noodle nests
• 1 Tbsp sesame oil
• 1 Tbsp grated ginger
• 2 garlic cloves, crushed
• 200 g baby spinach
• 1 bunch spring onions, sliced
• 110 g podded edamame beans
• 1 Tbsp sesame seeds, toasted (+1 tsp to garnish)
• 1 avocado, cubed
• Lemon juice (for the avo)
• 2 tsp low-salt soy sauce
• 1 Tbsp rice vinegar</t>
  </si>
  <si>
    <t>Serves 4. Air fryer 180°C 7 min or oven 15 min.</t>
  </si>
  <si>
    <t>https://www.instagram.com/jadeseeliger_dietitian/reel/DdO8M8FuXEr/</t>
  </si>
  <si>
    <t>• 1 tin chickpeas
• Lemon-flavoured olive oil
• Lemon (juice)
• Fresh rosemary
• Garlic
• Salt</t>
  </si>
  <si>
    <t>Air fryer 180°C ~40 min.</t>
  </si>
  <si>
    <t>https://www.instagram.com/jadeseeliger_dietitian/reel/DdHG5X4uiMl/</t>
  </si>
  <si>
    <t>• 1 cup full-cream or low-fat milk
• 1 Tbsp cocoa powder
• 1 tsp sugar</t>
  </si>
  <si>
    <t>Serves 1 – multiply for the family.</t>
  </si>
  <si>
    <t>https://www.instagram.com/jadeseeliger_dietitian/reel/DdCENQ7u7V6/</t>
  </si>
  <si>
    <t>• 500 g lean mince
• 1 medium onion, chopped
• 2–3 garlic cloves, crushed
• 2 medium carrots, grated
• 2 large mushrooms, grated
• 4–5 baby marrows, grated
• 2 tomatoes, diced
• 1 tin tomato &amp; onion mix
• 2 sachets tomato paste
• Fresh basil/thyme
• 1 tsp sugar
• ½ tsp salt
• Pre-cooked potatoes, sliced
• Parmesan, grated
• Fresh thyme</t>
  </si>
  <si>
    <t>Mince simmers 30–40 min; air fryer 200°C ~20 min to finish.</t>
  </si>
  <si>
    <t>https://www.instagram.com/jadeseeliger_dietitian/reel/DdCER0yh3Ue/</t>
  </si>
  <si>
    <t>• Deboned skinless chicken thighs
• Plain yoghurt (marinade)
• Breadcrumbs
• Salt &amp; pepper
• Italian herbs
• Zest of 1 lemon
• Ready-made tomato soup
• Grated cheddar</t>
  </si>
  <si>
    <t>No quantities given.</t>
  </si>
  <si>
    <t>https://www.instagram.com/jadeseeliger_dietitian/reel/Dcq5Ap0h3tG/</t>
  </si>
  <si>
    <t>• ¾ cup sunflower seeds
• ¼ cup pumpkin seeds
• ½ cup sesame seeds
• ¼ cup chia seeds
• 1 Tbsp psyllium husk
• 1 cup hot water
• 1 heaped tsp Bovril
• Salt</t>
  </si>
  <si>
    <t>160°C 30 min, slice, then 30 min more.</t>
  </si>
  <si>
    <t>https://www.instagram.com/jadeseeliger_dietitian/reel/Dcd6OEguGZz/</t>
  </si>
  <si>
    <t>• 3–4 cups whole-wheat fusilli, cooked (~½ x 500 g bag)
• 3 tins tuna, drained
• 1 cup petit pois peas
• Creamy tomato soup (to taste)
• Grated cheddar
• Fresh basil, chopped</t>
  </si>
  <si>
    <t>Bake 180°C 20–25 min.</t>
  </si>
  <si>
    <t>https://www.instagram.com/jadeseeliger_dietitian/reel/DcY3iuuBcHm/</t>
  </si>
  <si>
    <t>• 1–2 lean pork fillets, sliced into strips
• ½ bottle hoisin sauce
• 90-second coconut rice (or: 1 cup jasmine rice + 1 cup coconut milk + ½ cup water + pinch of salt)
• Crunchy slaw + dressing
• Spring onions
• Pickled ginger
• Toasted sesame seeds
• Edamame beans (optional)
• Wasabi sauce (optional)</t>
  </si>
  <si>
    <t>Air fryer ~15 min.</t>
  </si>
  <si>
    <t>https://www.instagram.com/jadeseeliger_dietitian/reel/DcG166Oha4t/</t>
  </si>
  <si>
    <t>• 6 beef shins
• Cake flour, for dusting
• 2 carrots, diced
• 2 onions, diced
• 2 celery sticks, chopped
• 3–4 garlic cloves, crushed
• 2 tins crushed tomatoes
• 2 cups beef stock
• 1 cup white wine
• Salt &amp; pepper
• Fresh rosemary sprigs
• 2–3 bay leaves
• Grated Parmesan
• Fresh parsley, chopped
• Zest of 1 lemon
• Bulgur wheat, to serve</t>
  </si>
  <si>
    <t>Oven 180°C ~3 hrs (or pressure cooker 45 min + 40 min oven).</t>
  </si>
  <si>
    <t>https://www.instagram.com/jadeseeliger_dietitian/reel/Db4t8Boo3AZ/</t>
  </si>
  <si>
    <t>• ~15 cream crackers
• 6–8 Medjool dates, pitted
• 1 heaped dessert spoon peanut butter (~½ cup)
• ¼ cup hot water
• 40 g milk chocolate
• 2 Tbsp toasted flaked almonds
• Pinch of salt</t>
  </si>
  <si>
    <t>Store and eat from the freezer.</t>
  </si>
  <si>
    <t>https://www.instagram.com/jadeseeliger_dietitian/reel/DbzsQVWOSGG/</t>
  </si>
  <si>
    <t>• 1½ Tbsp butter
• 3–4 Tbsp cake flour
• Milk (amount not given)
• Pinch of salt
• 1 tsp hot English mustard</t>
  </si>
  <si>
    <t>For lasagne, pasta bakes, cauliflower cheese.</t>
  </si>
  <si>
    <t>https://www.instagram.com/jadeseeliger_dietitian/reel/Dbmw4hGOUVZ/</t>
  </si>
  <si>
    <t>• 2 cooked chicken breasts (300 g), shredded
• 1 Tbsp olive or canola oil
• 2 leeks OR 2 small onions, sliced
• 2 corn cobs, cooked, kernels removed
• 1 cup cooked petit pois
• 2 large carrots, diced
• 1 sachet chicken soup powder
• 1½ cups low-fat milk
• 4 potatoes, steamed &amp; thinly sliced
• 80 g grated cheddar
• Fresh thyme</t>
  </si>
  <si>
    <t>Serves 6. Bake 20–30 min.</t>
  </si>
  <si>
    <t>https://www.instagram.com/jadeseeliger_dietitian/reel/DbZzODsuPHE/</t>
  </si>
  <si>
    <t>• 1 sheet puff pastry
• 1 packet sausages, removed from casings
• 1 tsp Dijon mustard
• 1 egg, beaten
• Tomato sauce &amp; Wimpy mustard, to serve</t>
  </si>
  <si>
    <t>Bake 180°C ~40 min.</t>
  </si>
  <si>
    <t>https://www.instagram.com/jadeseeliger_dietitian/reel/DbPrvYPovhA/</t>
  </si>
  <si>
    <t>• 4–5 small/medium potatoes, thinly sliced
• 1 onion, thinly sliced
• Crushed garlic
• 1 packet Knorr brown onion soup powder
• 2 cups low-fat or full-cream milk
• Grated cheese
• Fresh thyme
• Black pepper</t>
  </si>
  <si>
    <t>Serves 4–6. 180°C 40 min covered + 20 min uncovered.</t>
  </si>
  <si>
    <t>https://www.instagram.com/jadeseeliger_dietitian/reel/Da4gE8XN9J0/</t>
  </si>
  <si>
    <t>• 1 packet fresh mushroom soup (600 g)
• 1 onion, sliced
• 1 punnet sliced mushrooms
• Leftover steak or 200 g beef strips
• 1 Tbsp fresh thyme
• 2 Tbsp grated parmesan
• Olive oil</t>
  </si>
  <si>
    <t>Serve over bulgur, brown rice or cauli-rice.</t>
  </si>
  <si>
    <t>https://www.instagram.com/jadeseeliger_dietitian/reel/Das0_STuLkz/</t>
  </si>
  <si>
    <t>• Chicken thighs
• Curry paste
• Yoghurt
• Fresh coriander
• Roti &amp; sambals, to serve</t>
  </si>
  <si>
    <t>Marinate, then pan-fry. No quantities given.</t>
  </si>
  <si>
    <t>https://www.instagram.com/jadeseeliger_dietitian/reel/DakMzNMO917/</t>
  </si>
  <si>
    <t>• 1 packet Butter Chicken Soup (Woolworths)
• 2 rotisserie chicken breasts, cubed
• 1 cup petit pois peas
• Fresh coriander, chopped</t>
  </si>
  <si>
    <t>Serve with bulgur, brown basmati or cauli-rice.</t>
  </si>
  <si>
    <t>https://www.instagram.com/jadeseeliger_dietitian/reel/DaazZPvu04v/</t>
  </si>
  <si>
    <t>• 1 packet Moroccan Style Lamb Soup (Woolworths)
• 12 lamb frikkadels
• 400 g punnet rosa tomatoes
• 1 handful chopped mint
• 2 heaped Tbsp grated parmesan</t>
  </si>
  <si>
    <t>Bake 180°C 30 min.</t>
  </si>
  <si>
    <t>https://www.instagram.com/jadeseeliger_dietitian/reel/DaUXbnuudIg/</t>
  </si>
  <si>
    <t>• 2 onions, diced
• Olive oil
• Salt
• 2–3 garlic cloves, crushed
• 800 g–1 kg beef mince
• 2 sachets tomato paste
• 1 x 800 g tin puréed tomatoes
• 2 beef stock cubes + 1 L water
• 2 celery stalks, chopped
• 3–4 carrots, diced
• Fresh rosemary, thyme &amp; bay leaves (herb bouquet)</t>
  </si>
  <si>
    <t>Slow cook on Low 4 hrs.</t>
  </si>
  <si>
    <t>https://www.instagram.com/jadeseeliger_dietitian/reel/DaUTxh4oGXQ/</t>
  </si>
  <si>
    <t>• 1 Tbsp olive/canola oil
• 9-piece chicken pack
• 2 brown onions, finely diced
• 2 Tbsp curry paste
• 250 ml Chardonnay
• 400 g punnet rosa tomatoes
• ½ cup reduced-fat coconut milk
• 1 bunch fresh coriander</t>
  </si>
  <si>
    <t>Serves 4–6. 180°C 60 min + 15 min.</t>
  </si>
  <si>
    <t>https://www.instagram.com/jadeseeliger_dietitian/reel/DaPPVqboff0/</t>
  </si>
  <si>
    <t>• 1 packet Farmhouse Chicken Soup
• 1 cup frozen veggies, blanched
• 2 rotisserie chicken breasts, chunked
• 1–2 sheets puff pastry (250 g each)
• Butter or egg wash</t>
  </si>
  <si>
    <t>Bake pastry tops separately, 180°C ~25 min.</t>
  </si>
  <si>
    <t>https://www.instagram.com/jadeseeliger_dietitian/reel/DaIkGT8OKmp/</t>
  </si>
  <si>
    <t>• Butter, for greasing
• 500 g All Bran Flakes, crushed
• 500 g Corn Flakes, crushed
• 300 g mixed nuts, chopped
• 300 g mixed dried fruit, diced
• 250 g mixed seeds
• 1 kg self-raising flour
• 10 ml baking powder
• 5 ml salt
• 400 g yellow/brown sugar
• 2 eggs, beaten
• 500 g butter, melted
• 500 ml buttermilk or plain yoghurt
• 5 ml vanilla essence</t>
  </si>
  <si>
    <t>Makes 65–75. Bake 160°C 30–45 min, dry at 50°C overnight.</t>
  </si>
  <si>
    <t>https://www.instagram.com/jadeseeliger_dietitian/reel/DaCPBuTuqHr/</t>
  </si>
  <si>
    <t>• Lemons
• Coarse salt
• Freshly squeezed lemon juice (to cover)</t>
  </si>
  <si>
    <t>Quarter (joined at base), pack with salt, jar and cover with juice.</t>
  </si>
  <si>
    <t>https://www.instagram.com/jadeseeliger_dietitian/reel/DZpHXNpOuYe/</t>
  </si>
  <si>
    <t>• Apples, cored
• Chopped or flaked almonds
• Honey
• Cinnamon
• Yoghurt, to serve</t>
  </si>
  <si>
    <t>Air fryer 200°C 30 min. Keeps in the fridge.</t>
  </si>
  <si>
    <t>https://www.instagram.com/jadeseeliger_dietitian/reel/DZEi1dDuDX6/</t>
  </si>
  <si>
    <t>• 2 cups whole-wheat fusilli (dry)
• 1 head broccoli, steamed &amp; chopped
• 1 cup petit pois peas, steamed
• 1 tub full-cream smooth cottage cheese
• 3 Tbsp pesto
• Juice of 1 lemon
• 1 round feta, crumbled
• Handful fresh herbs (basil &amp; mint)
• Black pepper
• Protein topping: tuna, shredded chicken or roasted chickpeas</t>
  </si>
  <si>
    <t>Keeps 3 days in the fridge. Also posted earlier (DUzx8TYCBSN).</t>
  </si>
  <si>
    <t>https://www.instagram.com/jadeseeliger_dietitian/reel/DZFM_ZHNgEu/</t>
  </si>
  <si>
    <t>• Brussels sprouts
• Olive oil spray
• Salt &amp; pepper
• 1 garlic clove, crushed
• 3–4 rashers bacon, chopped</t>
  </si>
  <si>
    <t>Steam 8–10 min, then air fry 200°C ~20 min.</t>
  </si>
  <si>
    <t>https://www.instagram.com/jadeseeliger_dietitian/reel/DY_ZN6ouE1U/</t>
  </si>
  <si>
    <t>• 1 whole butternut (skin on)
• Frozen spinach &amp; feta (Dr. Oetker, Checkers)
• Parmesan, grated
• Fresh thyme
• Black pepper</t>
  </si>
  <si>
    <t>Roast whole 200°C ~1 hr, top, then 200°C ~20 min.</t>
  </si>
  <si>
    <t>https://www.instagram.com/jadeseeliger_dietitian/reel/DY6PmelOPU2/</t>
  </si>
  <si>
    <t>• Carcass of a roast chicken + scraps (or 1 breast)
• Onions or leeks
• Carrots
• Baby marrows
• Corn
• Potatoes
• 1 packet cream of chicken soup powder
• 1 cup milk (or reduced-fat coconut milk)
• Seasoning of choice
• Zest of 1 lemon</t>
  </si>
  <si>
    <t>Simmer carcass ~1 hr, veg 15–20 min, then soup mix 5–10 min.</t>
  </si>
  <si>
    <t>https://www.instagram.com/jadeseeliger_dietitian/reel/DYtXpbBOoEC/</t>
  </si>
  <si>
    <t>• 1 cup oats
• 40 g flaked almonds (½ cup)
• 1 tsp baking powder
• 2 tsp cinnamon (+ extra to sprinkle)
• 1 tsp allspice
• ½ tsp salt
• 1 tsp sugar (+1 tsp for topping)
• 3 ripe bananas, mashed
• 1 banana, thinly sliced (topping)
• 1 cup milk
• 2 eggs
• 5 ml vanilla essence
• Full-cream yoghurt, to serve</t>
  </si>
  <si>
    <t>Bake 180°C 15–20 min.</t>
  </si>
  <si>
    <t>https://www.instagram.com/jadeseeliger_dietitian/reel/DYtXm0OBIgB/</t>
  </si>
  <si>
    <t>• 1 handful baby spinach
• ½ small red onion, chopped
• ½ red pepper, chopped
• 2 hard-boiled eggs, quartered
• ½ avocado, cubed
• 1 Tbsp avocado oil (+ extra for dressing)
• ⅓ cup tinned chickpeas, rinsed &amp; drained
• 1 garlic clove, crushed
• ⅓ round feta, crumbled
• Balsamic vinegar
• Fresh basil or coriander</t>
  </si>
  <si>
    <t>Serves 1.</t>
  </si>
  <si>
    <t>https://www.instagram.com/jadeseeliger_dietitian/reel/DYlpQMkBPV8/</t>
  </si>
  <si>
    <t>• 500 g lean mince
• 1 onion, chopped
• 2 garlic cloves, crushed
• 1 Tbsp olive oil
• 2 Tbsp fresh coriander, chopped
• 2 tsp fresh or dried oregano
• 1 tsp ground cumin
• 1 tsp turmeric
• 1 sachet (2 Tbsp) tomato paste
• 2 cups chopped tomatoes
• 1 tin red kidney beans
• 1 tin whole kernel corn (or 2 cobs)
• 1 cup beef stock
• Potatoes, steamed
• Toppings: avo, salsa, lettuce, jalapeños, coriander, cottage cheese, parmesan, lime</t>
  </si>
  <si>
    <t>Serves 8. Simmer mince 20 min.</t>
  </si>
  <si>
    <t>https://www.instagram.com/jadeseeliger_dietitian/reel/DYgoWpzNlk8/</t>
  </si>
  <si>
    <t>• 600 g tub rosa tomatoes
• 1 red onion, chopped
• 1 red pepper, sliced
• 1 orange pepper, sliced
• 3 potatoes, pre-cooked, in wedges
• 2 garlic cloves, crushed
• Olive oil spray + olive oil
• Salt &amp; black pepper
• Fresh thyme
• Zest &amp; juice of 1 lemon
• Pork sausages
• Fresh basil, to garnish</t>
  </si>
  <si>
    <t>Bake 180°C 45–60 min. Optional: serve on bulgur wheat.</t>
  </si>
  <si>
    <t>https://www.instagram.com/jadeseeliger_dietitian/reel/DYQ7v4toyPX/</t>
  </si>
  <si>
    <t>• Beetroot, scrubbed &amp; quartered
• Olive oil
• Fresh thyme
• 3 handfuls baby spinach
• 1 green apple, thinly sliced
• 100 g soft goat's cheese
• 50 g pistachios, chopped
• Dressing: ¼ cup olive oil
• Dressing: ¼ cup balsamic vinegar
• Dressing: 1 tsp Dijon mustard
• Dressing: 1 tsp honey
• Salt &amp; pepper
• Fresh mint leaves</t>
  </si>
  <si>
    <t>Roast beetroot 200°C 45–60 min.</t>
  </si>
  <si>
    <t>https://www.instagram.com/jadeseeliger_dietitian/reel/DYJdzs4IfXq/</t>
  </si>
  <si>
    <t>• 10–12 ripe tamarillos
• 1 large apple, diced
• 1 large red onion, grated
• ½ cup brown sugar
• ¼ cup white vinegar
• ½ tsp salt
• ½ tsp red chilli powder
• ¾ tsp allspice</t>
  </si>
  <si>
    <t>Adapted from Aparna Balasubramanian's recipe.</t>
  </si>
  <si>
    <t>https://www.instagram.com/jadeseeliger_dietitian/reel/DYB1PYBA3PO/</t>
  </si>
  <si>
    <t>• 1 cup dried chickpeas, soaked overnight
• 1 butternut, cubed (or 500 g pre-cut)
• 2 onions, diced
• 2 Tbsp curry paste
• 1 Tbsp garam masala
• 1 knob ginger, grated
• 3 garlic cloves, crushed
• 2 cups vegetable or chicken stock
• 1 handful fresh coriander (+ extra to serve)
• ⅓ cup plain yoghurt
• Mrs Balls chutney, to serve</t>
  </si>
  <si>
    <t>Pressure cooker (Beans setting) – two rounds of ~30–35 min.</t>
  </si>
  <si>
    <t>https://www.instagram.com/jadeseeliger_dietitian/reel/DX_NPjeNBPa/</t>
  </si>
  <si>
    <t>• Lancewood Double Cream Strawberries &amp; Cream yoghurt
• Fresh berries, to top</t>
  </si>
  <si>
    <t>Churned ~20 min in an ice-cream maker.</t>
  </si>
  <si>
    <t>https://www.instagram.com/jadeseeliger_dietitian/reel/DX8kE48No57/</t>
  </si>
  <si>
    <t>• 1 large red onion, sliced
• 1 Tbsp olive oil
• 1 chicken stock cube or gel
• Juice of 2 lemons
• 2 cups boiling water
• 1 cup raw orzo
• 2 garlic cloves, grated
• 9-pack chicken thighs &amp; legs (skin on)
• ½ punnet baby marrows, chopped
• 1 cup frozen petit pois peas
• 1 lemon, halved
• Feta, to crumble
• Fresh basil, chopped</t>
  </si>
  <si>
    <t>Bake 180°C 1 hr, rest 15 min.</t>
  </si>
  <si>
    <t>https://www.instagram.com/jadeseeliger_dietitian/reel/DXqa8bVOgo3/</t>
  </si>
  <si>
    <t>• Medium potatoes
• Olive oil spray
• Salt &amp; pepper
• Rosemary</t>
  </si>
  <si>
    <t>Parboil ~40 min, smash, roast 180°C ~45 min.</t>
  </si>
  <si>
    <t>https://www.instagram.com/jadeseeliger_dietitian/reel/DXl8EA3gHs1/</t>
  </si>
  <si>
    <t>• 180 g butter, melted
• ½ cup sugar
• 1 cup flour
• 1 cup oats
• 1 cup desiccated coconut
• ½ tsp baking powder
• 2 Tbsp cocoa powder
• ¼ cup chocolate chips, melted</t>
  </si>
  <si>
    <t>20 x 20 cm tray, 180°C 20–25 min.</t>
  </si>
  <si>
    <t>https://www.instagram.com/jadeseeliger_dietitian/reel/DXOUk5FjW8t/</t>
  </si>
  <si>
    <t>• 500 g frozen haddock
• 1 cup low-fat milk
• 1 Tbsp corn starch
• 40–60 g mozzarella
• Fresh chives</t>
  </si>
  <si>
    <t>Poach ~10 min, thicken sauce, grill ~10 min.</t>
  </si>
  <si>
    <t>https://www.instagram.com/jadeseeliger_dietitian/reel/DWiUs7POTux/</t>
  </si>
  <si>
    <t>• ~3 cups soft herbs (basil, coriander, flat-leaf parsley, mint)
• 1 avocado
• 1 chilli
• 1 garlic clove
• 1 small red onion
• Black pepper
• Pinch of salt
• ⅓ cup avocado/olive/canola oil
• Juice of 1 lemon</t>
  </si>
  <si>
    <t>Blend. Keeps ~1 week. Adapted from the Seasons cookbook.</t>
  </si>
  <si>
    <t>https://www.instagram.com/jadeseeliger_dietitian/reel/DW20KYvun-g/</t>
  </si>
  <si>
    <t>• Cauliflower
• Red &amp; yellow peppers
• Rosa tomatoes
• Baby marrows
• 2 tins chickpeas, rinsed &amp; drained
• Red onions
• Zest of 1 lemon
• Salt &amp; pepper
• Olive oil
• Fresh thyme
• 90-second grains (Woolworths)
• Feta, crumbled
• Green sauce or pesto</t>
  </si>
  <si>
    <t>Roast 180°C ~1 hr.</t>
  </si>
  <si>
    <t>https://www.instagram.com/jadeseeliger_dietitian/reel/DW0WURuunVB/</t>
  </si>
  <si>
    <t>• 180 g Cadbury chocolate slab
• 1½ cups popped popcorn
• 1 cup salted pretzels
• Smarties or Smartie eggs
• Sprinkles (optional)</t>
  </si>
  <si>
    <t>Set in fridge ~2 hrs.</t>
  </si>
  <si>
    <t>https://www.instagram.com/jadeseeliger_dietitian/reel/DWn0AHfAMqa/</t>
  </si>
  <si>
    <t>• 3 ripe bananas
• 2 eggs
• 1 tsp vanilla essence
• 3 Tbsp cocoa powder
• 1 cup milk
• 1 cup oats
• ½ cup flour
• ½ cup desiccated coconut
• 2 heaped tsp baking powder
• Pinch of salt
• 2 Tbsp sugar
• Yoghurt &amp; cocoa, to serve</t>
  </si>
  <si>
    <t>Fills 4–6 ramekins or 9 muffins. 180°C ~15 min.</t>
  </si>
  <si>
    <t>https://www.instagram.com/jadeseeliger_dietitian/reel/DWk5aawCEpt/</t>
  </si>
  <si>
    <t>• 1 tsp cinnamon
• ½ tsp mixed spice
• 1 heaped tsp honey
• ¾ cup evaporated milk
• Handful chopped hot cross bun</t>
  </si>
  <si>
    <t>Freeze 24 hrs; made with a Freeze Wand ice-cream maker.</t>
  </si>
  <si>
    <t>https://www.instagram.com/jadeseeliger_dietitian/reel/DWiaDP0iBaP/</t>
  </si>
  <si>
    <t>• 1 tsp cinnamon (+ extra to sprinkle)
• 1 heaped tsp honey
• ¾ cup evaporated milk
• Handful chopped carrot muffin
• Carrot cake crumble
• Toasted pecans</t>
  </si>
  <si>
    <t>• 2 ripe bananas
• 1 heaped Tbsp cocoa powder
• ½ cup evaporated milk
• Green-tinted desiccated coconut
• Small Easter eggs</t>
  </si>
  <si>
    <t>• Butternut or pumpkin (whole)
• Olive oil (+ spray)
• Salt
• Feta
• Fresh sage leaves</t>
  </si>
  <si>
    <t>Roast whole 200°C 1 hr; air fry 5 min with toppings.</t>
  </si>
  <si>
    <t>https://www.instagram.com/jadeseeliger_dietitian/reel/DWYLgKviGbX/</t>
  </si>
  <si>
    <t>• 6 eggs
• Splash of milk
• Pinch of salt
• Filling 1: cream cheese, chopped salami, feta, chives
• Filling 2: cream cheese, smoked salmon, chives, capers
• Filling 3: cream cheese, leftover Mexican mince, pickled onions</t>
  </si>
  <si>
    <t>Makes 6.</t>
  </si>
  <si>
    <t>https://www.instagram.com/jadeseeliger_dietitian/reel/DWVcuCauJAG/</t>
  </si>
  <si>
    <t>• Ready-made meatballs
• Mediterranean Cook-in Sauce (Woolworths)
• 1 tin cherry tomatoes (or 1 punnet fresh)
• Handful pitted green olives, chopped
• 1 round feta
• Fresh basil</t>
  </si>
  <si>
    <t>Bake 45 min. Serve with bulgur, wild rice, cauli-rice or couscous.</t>
  </si>
  <si>
    <t>https://www.instagram.com/jadeseeliger_dietitian/reel/DWQTKXCO4Zo/</t>
  </si>
  <si>
    <t>• 6 eggs
• ¼ cup milk
• 1 heaped tsp wholegrain mustard
• 1 tsp bicarb (or 2 tsp baking powder)
• 200 g baby spinach, blanched &amp; squeezed dry
• 1 packet (~90 g drained) pitted olives, chopped
• 1 small red onion, finely chopped
• 1 round feta, crumbled</t>
  </si>
  <si>
    <t>Makes 12. Bake 12–15 min.</t>
  </si>
  <si>
    <t>https://www.instagram.com/jadeseeliger_dietitian/reel/DWDseQxjSaK/</t>
  </si>
  <si>
    <t>• 1 tin pears in fruit juice, chopped (with juice)
• 3 Tbsp chia seeds
• 1½ cups plain yoghurt
• ½ cup oats</t>
  </si>
  <si>
    <t>Makes 3 portions.</t>
  </si>
  <si>
    <t>https://www.instagram.com/jadeseeliger_dietitian/reel/DV-ugSADeko/</t>
  </si>
  <si>
    <t>• Baby marrows
• Red onion
• 1 tin artichokes (in brine)
• Rosa tomatoes
• 1 tin chickpeas, rinsed &amp; drained
• Crushed garlic
• Lemon zest (+ squeeze of lemon)
• Olive oil
• Fresh thyme
• 1 packet 90-second grains (Woolworths)
• ~1½ rounds feta, crumbled</t>
  </si>
  <si>
    <t>Roast 45–60 min. Makes 3 jars.</t>
  </si>
  <si>
    <t>• 500 g lean mince
• 1 medium onion, chopped
• 2–3 garlic cloves, crushed
• 2 medium carrots, grated
• 4–5 baby marrows, grated
• 2 tomatoes, diced
• 2 tins whole tomatoes, puréed
• 1 tin lentils (optional)
• 2 packets tomato paste
• Bunch fresh basil/thyme
• ½ tsp salt</t>
  </si>
  <si>
    <t>Simmer 30–45 min. Freeze half.</t>
  </si>
  <si>
    <t>https://www.instagram.com/jadeseeliger_dietitian/reel/DVsQEZGCG7X/</t>
  </si>
  <si>
    <t>• 5 Veg Mince (above)
• Gem squash halves, steamed
• Grated cheese
• Salt &amp; pepper</t>
  </si>
  <si>
    <t>Air fry 12 min.</t>
  </si>
  <si>
    <t>• 5 Veg Mince (above)
• Large mushrooms
• Grated cheese
• Truffle oil (optional)</t>
  </si>
  <si>
    <t>Air fry 15 min.</t>
  </si>
  <si>
    <t>• 5 Veg Mince (above)
• 1–2 Tbsp chutney
• 1 head cauliflower, steamed
• ¼ cup warm milk
• Pinch of salt
• Grated cheese</t>
  </si>
  <si>
    <t>• 4–6 large eggplants, sliced
• Olive oil
• White sauce: 1½ Tbsp butter
• White sauce: 3–4 Tbsp cake flour
• White sauce: ±1 cup milk
• White sauce: ½–1 tsp hot English mustard + salt
• 2 x 350 ml bottles crushed tomato sauce (or 2 tins Italian tomatoes + 2 garlic cloves + 2 Tbsp Italian herbs)
• Grated white cheddar
• Fresh thyme</t>
  </si>
  <si>
    <t>Roast eggplant 200°C 25–30 min; bake 180°C 30–40 min.</t>
  </si>
  <si>
    <t>https://www.instagram.com/jadeseeliger_dietitian/reel/DVfpC7FiEPn/</t>
  </si>
  <si>
    <t>• 115 g (½ cup) butter, softened
• 100 g (½ cup) brown sugar
• 1 egg
• 250 g (1 cup) peanut butter (sugar-free)
• ½ tsp vanilla extract
• 190 g (1½ cups) cake flour
• ½ tsp baking powder or bicarb
• ½ tsp salt</t>
  </si>
  <si>
    <t>Bake 180°C 10–15 min. Adapted from Drizzle &amp; Dip.</t>
  </si>
  <si>
    <t>https://www.instagram.com/jadeseeliger_dietitian/reel/DVdMVbTDVqR/</t>
  </si>
  <si>
    <t>• 500 ml fresh cream
• ½ cup white sugar
• 1 cup milk
• 2 tsp vanilla extract
• 1 tsp salt
• Biscoff biscuits, crushed</t>
  </si>
  <si>
    <t>Churned in an ice-cream maker (~30 min).</t>
  </si>
  <si>
    <t>https://www.instagram.com/jadeseeliger_dietitian/reel/DU7hE3UiBVI/</t>
  </si>
  <si>
    <t>Ingredient (from post)</t>
  </si>
  <si>
    <t>Status</t>
  </si>
  <si>
    <t>Product key</t>
  </si>
  <si>
    <t>Woolworths product</t>
  </si>
  <si>
    <t>Qty used</t>
  </si>
  <si>
    <t>Unit</t>
  </si>
  <si>
    <t>Pack size</t>
  </si>
  <si>
    <t>Pack price (R)</t>
  </si>
  <si>
    <t>Packs to buy</t>
  </si>
  <si>
    <t>Shop cost (R)</t>
  </si>
  <si>
    <t>Cost of amount used (R)</t>
  </si>
  <si>
    <t>Note / assumption</t>
  </si>
  <si>
    <t>1 packet fresh chicken soup</t>
  </si>
  <si>
    <t>Costed</t>
  </si>
  <si>
    <t>fresh_chicken_soup</t>
  </si>
  <si>
    <t>1 cup lightly cooked vegetables (diced baby marrows &amp; carrots)</t>
  </si>
  <si>
    <t>baby_marrows</t>
  </si>
  <si>
    <t>1 cup veg split as ~70 g baby marrow + ~60 g carrot</t>
  </si>
  <si>
    <t>1 cup lightly cooked vegetables (diced baby marrows &amp; carrots) (part 2)</t>
  </si>
  <si>
    <t>carrots</t>
  </si>
  <si>
    <t>1 rotisserie chicken (breast &amp; thigh), sliced</t>
  </si>
  <si>
    <t>rotisserie_chicken</t>
  </si>
  <si>
    <t>Puff pastry</t>
  </si>
  <si>
    <t>puff_pastry</t>
  </si>
  <si>
    <t>Amount not given - assumed 1 roll</t>
  </si>
  <si>
    <t>1 egg, for brushing</t>
  </si>
  <si>
    <t>eggs</t>
  </si>
  <si>
    <t>Green salad, to serve</t>
  </si>
  <si>
    <t>salad_leaves</t>
  </si>
  <si>
    <t>Amount not given - assumed 1 bag</t>
  </si>
  <si>
    <t>Cooked vegetables of choice</t>
  </si>
  <si>
    <t>Amount not given - assumed 1 punnet baby marrows as the veg</t>
  </si>
  <si>
    <t>Feta, crumbled</t>
  </si>
  <si>
    <t>feta</t>
  </si>
  <si>
    <t>Amount not given - assumed 50 g</t>
  </si>
  <si>
    <t>Pomegranate seeds</t>
  </si>
  <si>
    <t>pomegranate</t>
  </si>
  <si>
    <t>Lemon zest</t>
  </si>
  <si>
    <t>lemons</t>
  </si>
  <si>
    <t>Balsamic glaze</t>
  </si>
  <si>
    <t>balsamic_glaze</t>
  </si>
  <si>
    <t>Amount not given - assumed 1 Tbsp</t>
  </si>
  <si>
    <t>Rocket leaves</t>
  </si>
  <si>
    <t>rocket</t>
  </si>
  <si>
    <t>Good olive oil</t>
  </si>
  <si>
    <t>olive_oil</t>
  </si>
  <si>
    <t>2–3 sheets filo pastry (+1 extra for topping)</t>
  </si>
  <si>
    <t>filo</t>
  </si>
  <si>
    <t>4 sheets taken as ~100 g</t>
  </si>
  <si>
    <t>Olive oil spray</t>
  </si>
  <si>
    <t>olive_oil_spray</t>
  </si>
  <si>
    <t>Amount not given - assumed a few sprays</t>
  </si>
  <si>
    <t>500 g spinach</t>
  </si>
  <si>
    <t>spinach</t>
  </si>
  <si>
    <t>2 eggs</t>
  </si>
  <si>
    <t>1 round feta, crumbled</t>
  </si>
  <si>
    <t>1 round taken as 100 g</t>
  </si>
  <si>
    <t>1 onion, diced</t>
  </si>
  <si>
    <t>onions</t>
  </si>
  <si>
    <t>1 onion taken as 150 g</t>
  </si>
  <si>
    <t>Zest of 1 lemon</t>
  </si>
  <si>
    <t>Sesame seeds</t>
  </si>
  <si>
    <t>sesame_seeds</t>
  </si>
  <si>
    <t>Salt</t>
  </si>
  <si>
    <t>Basic - not costed</t>
  </si>
  <si>
    <t>800 g pumpkin, cooked &amp; mashed</t>
  </si>
  <si>
    <t>pumpkin</t>
  </si>
  <si>
    <t>2 cups flour</t>
  </si>
  <si>
    <t>cake_flour</t>
  </si>
  <si>
    <t>1 cup flour = 125 g</t>
  </si>
  <si>
    <t>3 eggs</t>
  </si>
  <si>
    <t>¼ cup sugar</t>
  </si>
  <si>
    <t>white_sugar</t>
  </si>
  <si>
    <t>3 tsp baking powder</t>
  </si>
  <si>
    <t>baking_powder</t>
  </si>
  <si>
    <t>1 tsp = 4 g</t>
  </si>
  <si>
    <t>1 tsp salt</t>
  </si>
  <si>
    <t>1 Tbsp vanilla essence</t>
  </si>
  <si>
    <t>vanilla_essence</t>
  </si>
  <si>
    <t>50 g butter, melted</t>
  </si>
  <si>
    <t>butter</t>
  </si>
  <si>
    <t>Cinnamon &amp; sugar, to sprinkle</t>
  </si>
  <si>
    <t>cinnamon</t>
  </si>
  <si>
    <t>Amount not given - assumed 1 tsp cinnamon + 1 Tbsp sugar</t>
  </si>
  <si>
    <t>Cinnamon &amp; sugar, to sprinkle (part 2)</t>
  </si>
  <si>
    <t>1 kg lean beef mince</t>
  </si>
  <si>
    <t>lean_mince</t>
  </si>
  <si>
    <t>1 medium onion, finely chopped</t>
  </si>
  <si>
    <t>2 green apples, grated</t>
  </si>
  <si>
    <t>green_apples</t>
  </si>
  <si>
    <t>2 large eggs</t>
  </si>
  <si>
    <t>3 garlic cloves, minced</t>
  </si>
  <si>
    <t>garlic</t>
  </si>
  <si>
    <t>~10 cloves per 50 g</t>
  </si>
  <si>
    <t>2 Tbsp tomato sauce</t>
  </si>
  <si>
    <t>tomato_sauce</t>
  </si>
  <si>
    <t>3 Tbsp fresh parsley (or 1 Tbsp dried Italian herbs)</t>
  </si>
  <si>
    <t>parsley</t>
  </si>
  <si>
    <t>~half a punnet</t>
  </si>
  <si>
    <t>¾ cup breadcrumbs</t>
  </si>
  <si>
    <t>breadcrumbs</t>
  </si>
  <si>
    <t>3/4 cup = ~80 g</t>
  </si>
  <si>
    <t>⅔ cup milk</t>
  </si>
  <si>
    <t>milk</t>
  </si>
  <si>
    <t>1 tsp Italian seasoning</t>
  </si>
  <si>
    <t>italian_herbs</t>
  </si>
  <si>
    <t>1 tsp dried herbs = ~1 g</t>
  </si>
  <si>
    <t>½ tsp ground black pepper</t>
  </si>
  <si>
    <t>Black pepper</t>
  </si>
  <si>
    <t>Glaze: ⅓ cup tomato sauce</t>
  </si>
  <si>
    <t>Glaze: ⅓ cup HP sauce</t>
  </si>
  <si>
    <t>Substitute</t>
  </si>
  <si>
    <t>steak_sauce</t>
  </si>
  <si>
    <t>SUBSTITUTE: HP Sauce not sold at Woolworths</t>
  </si>
  <si>
    <t>Glaze: 2 Tbsp vinegar</t>
  </si>
  <si>
    <t>white_vinegar</t>
  </si>
  <si>
    <t>1 tin sardines, drained</t>
  </si>
  <si>
    <t>sardines</t>
  </si>
  <si>
    <t>½ red onion, chopped</t>
  </si>
  <si>
    <t>red_onions</t>
  </si>
  <si>
    <t>1 red onion taken as 150 g</t>
  </si>
  <si>
    <t>Lemon juice</t>
  </si>
  <si>
    <t>Amount not given - assumed half a lemon</t>
  </si>
  <si>
    <t>Fresh coriander</t>
  </si>
  <si>
    <t>coriander</t>
  </si>
  <si>
    <t>Amount not given - assumed a few sprigs</t>
  </si>
  <si>
    <t>Toast, to serve</t>
  </si>
  <si>
    <t>bread</t>
  </si>
  <si>
    <t>Amount not given - assumed 4 slices</t>
  </si>
  <si>
    <t>Chilli oil (optional)</t>
  </si>
  <si>
    <t>chilli_oil</t>
  </si>
  <si>
    <t>Amount not given - assumed 1 tsp (optional)</t>
  </si>
  <si>
    <t>½ cup yoghurt</t>
  </si>
  <si>
    <t>plain_yoghurt</t>
  </si>
  <si>
    <t>Juice + zest of 1 lemon</t>
  </si>
  <si>
    <t>1 Tbsp mayonnaise</t>
  </si>
  <si>
    <t>mayonnaise</t>
  </si>
  <si>
    <t>Salt &amp; pepper</t>
  </si>
  <si>
    <t>Fresh chives, chopped</t>
  </si>
  <si>
    <t>chives</t>
  </si>
  <si>
    <t>Amount not given - assumed half a punnet</t>
  </si>
  <si>
    <t>2 garlic cloves, crushed</t>
  </si>
  <si>
    <t>4 Tbsp hoisin sauce (+ extra to serve)</t>
  </si>
  <si>
    <t>hoisin</t>
  </si>
  <si>
    <t>4 Tbsp + extra to serve</t>
  </si>
  <si>
    <t>1 pork fillet, trimmed</t>
  </si>
  <si>
    <t>pork_fillet</t>
  </si>
  <si>
    <t>Priced by weight</t>
  </si>
  <si>
    <t>3 whole-wheat egg noodle nests</t>
  </si>
  <si>
    <t>egg_noodles</t>
  </si>
  <si>
    <t>~6 nests per 340 g</t>
  </si>
  <si>
    <t>1 Tbsp sesame oil</t>
  </si>
  <si>
    <t>sesame_oil</t>
  </si>
  <si>
    <t>1 Tbsp grated ginger</t>
  </si>
  <si>
    <t>ginger</t>
  </si>
  <si>
    <t>200 g baby spinach</t>
  </si>
  <si>
    <t>baby_spinach</t>
  </si>
  <si>
    <t>1 bunch spring onions, sliced</t>
  </si>
  <si>
    <t>spring_onions</t>
  </si>
  <si>
    <t>110 g podded edamame beans</t>
  </si>
  <si>
    <t>edamame</t>
  </si>
  <si>
    <t>1 Tbsp sesame seeds, toasted (+1 tsp to garnish)</t>
  </si>
  <si>
    <t>1 avocado, cubed</t>
  </si>
  <si>
    <t>avocado</t>
  </si>
  <si>
    <t>Lemon juice (for the avo)</t>
  </si>
  <si>
    <t>Amount not given - assumed a squeeze</t>
  </si>
  <si>
    <t>2 tsp low-salt soy sauce</t>
  </si>
  <si>
    <t>soy_sauce</t>
  </si>
  <si>
    <t>1 Tbsp rice vinegar</t>
  </si>
  <si>
    <t>rice_vinegar</t>
  </si>
  <si>
    <t>1 tin chickpeas</t>
  </si>
  <si>
    <t>chickpeas_tin</t>
  </si>
  <si>
    <t>Lemon-flavoured olive oil</t>
  </si>
  <si>
    <t>lemon_olive_oil</t>
  </si>
  <si>
    <t>Lemon (juice)</t>
  </si>
  <si>
    <t>Fresh rosemary</t>
  </si>
  <si>
    <t>rosemary</t>
  </si>
  <si>
    <t>Amount not given - assumed a sprig or two</t>
  </si>
  <si>
    <t>Garlic</t>
  </si>
  <si>
    <t>Amount not given - assumed 2 cloves</t>
  </si>
  <si>
    <t>1 cup full-cream or low-fat milk</t>
  </si>
  <si>
    <t>1 Tbsp cocoa powder</t>
  </si>
  <si>
    <t>cocoa</t>
  </si>
  <si>
    <t>1 Tbsp cocoa = ~7 g</t>
  </si>
  <si>
    <t>1 tsp sugar</t>
  </si>
  <si>
    <t>500 g lean mince</t>
  </si>
  <si>
    <t>1 medium onion, chopped</t>
  </si>
  <si>
    <t>2–3 garlic cloves, crushed</t>
  </si>
  <si>
    <t>2 medium carrots, grated</t>
  </si>
  <si>
    <t>2 large mushrooms, grated</t>
  </si>
  <si>
    <t>portabello</t>
  </si>
  <si>
    <t>4–5 baby marrows, grated</t>
  </si>
  <si>
    <t>4-5 baby marrows at ~70 g each</t>
  </si>
  <si>
    <t>2 tomatoes, diced</t>
  </si>
  <si>
    <t>tomatoes</t>
  </si>
  <si>
    <t>1 tin tomato &amp; onion mix</t>
  </si>
  <si>
    <t>tomato_onion_mix</t>
  </si>
  <si>
    <t>2 sachets tomato paste</t>
  </si>
  <si>
    <t>tomato_paste</t>
  </si>
  <si>
    <t>1 sachet taken as 50 g</t>
  </si>
  <si>
    <t>Fresh basil/thyme</t>
  </si>
  <si>
    <t>basil</t>
  </si>
  <si>
    <t>½ tsp salt</t>
  </si>
  <si>
    <t>Pre-cooked potatoes, sliced</t>
  </si>
  <si>
    <t>potatoes</t>
  </si>
  <si>
    <t>Amount not given - assumed 4 potatoes</t>
  </si>
  <si>
    <t>Parmesan, grated</t>
  </si>
  <si>
    <t>parmesan</t>
  </si>
  <si>
    <t>Amount not given - assumed 20 g</t>
  </si>
  <si>
    <t>Fresh thyme</t>
  </si>
  <si>
    <t>thyme</t>
  </si>
  <si>
    <t>Deboned skinless chicken thighs</t>
  </si>
  <si>
    <t>chicken_thigh_fillets</t>
  </si>
  <si>
    <t>Amount not given - assumed 1 pack (~800 g)</t>
  </si>
  <si>
    <t>Plain yoghurt (marinade)</t>
  </si>
  <si>
    <t>Amount not given - assumed 1/2 cup</t>
  </si>
  <si>
    <t>Breadcrumbs</t>
  </si>
  <si>
    <t>Amount not given - assumed ~3/4 cup</t>
  </si>
  <si>
    <t>Italian herbs</t>
  </si>
  <si>
    <t>Amount not given - assumed 2 tsp</t>
  </si>
  <si>
    <t>Ready-made tomato soup</t>
  </si>
  <si>
    <t>tomato_soup</t>
  </si>
  <si>
    <t>Amount not given - assumed 1 x 400 g</t>
  </si>
  <si>
    <t>Grated cheddar</t>
  </si>
  <si>
    <t>cheddar_grated</t>
  </si>
  <si>
    <t>Amount not given - assumed 1 cup</t>
  </si>
  <si>
    <t>¾ cup sunflower seeds</t>
  </si>
  <si>
    <t>sunflower_seeds</t>
  </si>
  <si>
    <t>3/4 cup = ~105 g</t>
  </si>
  <si>
    <t>¼ cup pumpkin seeds</t>
  </si>
  <si>
    <t>pumpkin_seeds</t>
  </si>
  <si>
    <t>½ cup sesame seeds</t>
  </si>
  <si>
    <t>¼ cup chia seeds</t>
  </si>
  <si>
    <t>chia</t>
  </si>
  <si>
    <t>1 Tbsp psyllium husk</t>
  </si>
  <si>
    <t>Psyllium husk is not sold at Woolworths</t>
  </si>
  <si>
    <t>1 cup hot water</t>
  </si>
  <si>
    <t>Water</t>
  </si>
  <si>
    <t>1 heaped tsp Bovril</t>
  </si>
  <si>
    <t>bovril</t>
  </si>
  <si>
    <t>3–4 cups whole-wheat fusilli, cooked (~½ x 500 g bag)</t>
  </si>
  <si>
    <t>ww_fusilli</t>
  </si>
  <si>
    <t>3 tins tuna, drained</t>
  </si>
  <si>
    <t>tuna</t>
  </si>
  <si>
    <t>1 cup petit pois peas</t>
  </si>
  <si>
    <t>peas</t>
  </si>
  <si>
    <t>1 cup peas = ~140 g</t>
  </si>
  <si>
    <t>Creamy tomato soup (to taste)</t>
  </si>
  <si>
    <t>Fresh basil, chopped</t>
  </si>
  <si>
    <t>1–2 lean pork fillets, sliced into strips</t>
  </si>
  <si>
    <t>1-2 fillets - taken as 1.5</t>
  </si>
  <si>
    <t>½ bottle hoisin sauce</t>
  </si>
  <si>
    <t>90-second coconut rice (or: 1 cup jasmine rice + 1 cup coconut milk + ½ cup water + pinch of salt)</t>
  </si>
  <si>
    <t>coconut_rice</t>
  </si>
  <si>
    <t>Amount not given - assumed 2 x 250 g pouches</t>
  </si>
  <si>
    <t>Crunchy slaw + dressing</t>
  </si>
  <si>
    <t>slaw</t>
  </si>
  <si>
    <t>Spring onions</t>
  </si>
  <si>
    <t>Amount not given - assumed 1 bunch</t>
  </si>
  <si>
    <t>Pickled ginger</t>
  </si>
  <si>
    <t>pickled_ginger</t>
  </si>
  <si>
    <t>Amount not given - assumed 30 g</t>
  </si>
  <si>
    <t>Toasted sesame seeds</t>
  </si>
  <si>
    <t>Edamame beans (optional)</t>
  </si>
  <si>
    <t>Amount not given - assumed 1 pack (optional)</t>
  </si>
  <si>
    <t>Wasabi sauce (optional)</t>
  </si>
  <si>
    <t>wasabi</t>
  </si>
  <si>
    <t>6 beef shins</t>
  </si>
  <si>
    <t>beef_shin</t>
  </si>
  <si>
    <t>Priced by weight; 1 shin taken as 300 g</t>
  </si>
  <si>
    <t>Cake flour, for dusting</t>
  </si>
  <si>
    <t>Amount not given - assumed ~1/4 cup</t>
  </si>
  <si>
    <t>2 carrots, diced</t>
  </si>
  <si>
    <t>2 onions, diced</t>
  </si>
  <si>
    <t>2 celery sticks, chopped</t>
  </si>
  <si>
    <t>celery</t>
  </si>
  <si>
    <t>~10 sticks per head</t>
  </si>
  <si>
    <t>3–4 garlic cloves, crushed</t>
  </si>
  <si>
    <t>2 tins crushed tomatoes</t>
  </si>
  <si>
    <t>tinned_tomatoes</t>
  </si>
  <si>
    <t>2 cups beef stock</t>
  </si>
  <si>
    <t>beef_stock_liquid</t>
  </si>
  <si>
    <t>1 cup white wine</t>
  </si>
  <si>
    <t>white_wine</t>
  </si>
  <si>
    <t>Fresh rosemary sprigs</t>
  </si>
  <si>
    <t>2–3 bay leaves</t>
  </si>
  <si>
    <t>bay_leaves</t>
  </si>
  <si>
    <t>Grated Parmesan</t>
  </si>
  <si>
    <t>Fresh parsley, chopped</t>
  </si>
  <si>
    <t>Bulgur wheat, to serve</t>
  </si>
  <si>
    <t>bulgur</t>
  </si>
  <si>
    <t>Amount not given - assumed ~300 g dry for 6</t>
  </si>
  <si>
    <t>~15 cream crackers</t>
  </si>
  <si>
    <t>cream_crackers</t>
  </si>
  <si>
    <t>~24 crackers per 200 g</t>
  </si>
  <si>
    <t>6–8 Medjool dates, pitted</t>
  </si>
  <si>
    <t>dates</t>
  </si>
  <si>
    <t>~8 dates per 150 g</t>
  </si>
  <si>
    <t>1 heaped dessert spoon peanut butter (~½ cup)</t>
  </si>
  <si>
    <t>peanut_butter</t>
  </si>
  <si>
    <t>¼ cup hot water</t>
  </si>
  <si>
    <t>40 g milk chocolate</t>
  </si>
  <si>
    <t>milk_choc</t>
  </si>
  <si>
    <t>2 Tbsp toasted flaked almonds</t>
  </si>
  <si>
    <t>flaked_almonds</t>
  </si>
  <si>
    <t>Pinch of salt</t>
  </si>
  <si>
    <t>1½ Tbsp butter</t>
  </si>
  <si>
    <t>3–4 Tbsp cake flour</t>
  </si>
  <si>
    <t>Milk (amount not given)</t>
  </si>
  <si>
    <t>1 tsp hot English mustard</t>
  </si>
  <si>
    <t>english_mustard</t>
  </si>
  <si>
    <t>2 cooked chicken breasts (300 g), shredded</t>
  </si>
  <si>
    <t>cooked_chicken_breast</t>
  </si>
  <si>
    <t>1 Tbsp olive or canola oil</t>
  </si>
  <si>
    <t>canola_oil</t>
  </si>
  <si>
    <t>Canola chosen (cheaper than olive oil)</t>
  </si>
  <si>
    <t>2 leeks OR 2 small onions, sliced</t>
  </si>
  <si>
    <t>2 small onions chosen (cheaper than leeks)</t>
  </si>
  <si>
    <t>2 corn cobs, cooked, kernels removed</t>
  </si>
  <si>
    <t>corn_cobs</t>
  </si>
  <si>
    <t>1 cup cooked petit pois</t>
  </si>
  <si>
    <t>2 large carrots, diced</t>
  </si>
  <si>
    <t>1 sachet chicken soup powder</t>
  </si>
  <si>
    <t>chicken_sauce_powder</t>
  </si>
  <si>
    <t>SUBSTITUTE: no cream of chicken soup powder at Woolworths</t>
  </si>
  <si>
    <t>1½ cups low-fat milk</t>
  </si>
  <si>
    <t>low_fat_milk</t>
  </si>
  <si>
    <t>4 potatoes, steamed &amp; thinly sliced</t>
  </si>
  <si>
    <t>1 potato taken as 200 g</t>
  </si>
  <si>
    <t>80 g grated cheddar</t>
  </si>
  <si>
    <t>1 sheet puff pastry</t>
  </si>
  <si>
    <t>1 roll = 1 sheet</t>
  </si>
  <si>
    <t>1 packet sausages, removed from casings</t>
  </si>
  <si>
    <t>pork_sausages</t>
  </si>
  <si>
    <t>1 tsp Dijon mustard</t>
  </si>
  <si>
    <t>dijon</t>
  </si>
  <si>
    <t>1 egg, beaten</t>
  </si>
  <si>
    <t>Tomato sauce &amp; Wimpy mustard, to serve</t>
  </si>
  <si>
    <t>Amount not given - assumed 2 Tbsp</t>
  </si>
  <si>
    <t>Tomato sauce &amp; Wimpy mustard, to serve (part 2)</t>
  </si>
  <si>
    <t>german_mustard</t>
  </si>
  <si>
    <t>SUBSTITUTE: no Wimpy/American mustard listed. Amount not given - assumed 1 Tbsp</t>
  </si>
  <si>
    <t>4–5 small/medium potatoes, thinly sliced</t>
  </si>
  <si>
    <t>4-5 small/medium potatoes at ~150 g</t>
  </si>
  <si>
    <t>1 onion, thinly sliced</t>
  </si>
  <si>
    <t>Crushed garlic</t>
  </si>
  <si>
    <t>1 packet Knorr brown onion soup powder</t>
  </si>
  <si>
    <t>brown_onion_thickener</t>
  </si>
  <si>
    <t>SUBSTITUTE: Knorr brown onion soup not sold</t>
  </si>
  <si>
    <t>2 cups low-fat or full-cream milk</t>
  </si>
  <si>
    <t>Grated cheese</t>
  </si>
  <si>
    <t>Amount not given - assumed 80 g</t>
  </si>
  <si>
    <t>1 packet fresh mushroom soup (600 g)</t>
  </si>
  <si>
    <t>mushroom_soup</t>
  </si>
  <si>
    <t>1 onion, sliced</t>
  </si>
  <si>
    <t>1 punnet sliced mushrooms</t>
  </si>
  <si>
    <t>sliced_mushrooms</t>
  </si>
  <si>
    <t>Leftover steak or 200 g beef strips</t>
  </si>
  <si>
    <t>beef_strips</t>
  </si>
  <si>
    <t>Costed as 200 g beef strips (leftover steak would be free)</t>
  </si>
  <si>
    <t>1 Tbsp fresh thyme</t>
  </si>
  <si>
    <t>2 Tbsp grated parmesan</t>
  </si>
  <si>
    <t>Parmesan-style</t>
  </si>
  <si>
    <t>Olive oil</t>
  </si>
  <si>
    <t>Chicken thighs</t>
  </si>
  <si>
    <t>chicken_thighs</t>
  </si>
  <si>
    <t>Amount not given - assumed 1 pack (~500 g)</t>
  </si>
  <si>
    <t>Curry paste</t>
  </si>
  <si>
    <t>curry_paste</t>
  </si>
  <si>
    <t>Yoghurt</t>
  </si>
  <si>
    <t>Roti &amp; sambals, to serve</t>
  </si>
  <si>
    <t>roti</t>
  </si>
  <si>
    <t>Amount not given - assumed 1 pack; sambals not costed (no Woolworths match)</t>
  </si>
  <si>
    <t>1 packet Butter Chicken Soup (Woolworths)</t>
  </si>
  <si>
    <t>butter_chicken_sauce</t>
  </si>
  <si>
    <t>SUBSTITUTE: Woolworths Butter Chicken Soup not currently listed</t>
  </si>
  <si>
    <t>2 rotisserie chicken breasts, cubed</t>
  </si>
  <si>
    <t>Both breasts of 1 rotisserie chicken</t>
  </si>
  <si>
    <t>Fresh coriander, chopped</t>
  </si>
  <si>
    <t>1 packet Moroccan Style Lamb Soup (Woolworths)</t>
  </si>
  <si>
    <t>moroccan_soup</t>
  </si>
  <si>
    <t>SUBSTITUTE: Moroccan Style Lamb Soup not currently listed</t>
  </si>
  <si>
    <t>12 lamb frikkadels</t>
  </si>
  <si>
    <t>lamb_frikkadels</t>
  </si>
  <si>
    <t>400 g punnet rosa tomatoes</t>
  </si>
  <si>
    <t>rosa_400</t>
  </si>
  <si>
    <t>1 handful chopped mint</t>
  </si>
  <si>
    <t>mint</t>
  </si>
  <si>
    <t>2 heaped Tbsp grated parmesan</t>
  </si>
  <si>
    <t>800 g–1 kg beef mince</t>
  </si>
  <si>
    <t>800 g-1 kg - taken as 900 g</t>
  </si>
  <si>
    <t>1 x 800 g tin puréed tomatoes</t>
  </si>
  <si>
    <t>tomato_puree</t>
  </si>
  <si>
    <t>2 beef stock cubes + 1 L water</t>
  </si>
  <si>
    <t>beef_stock_powder</t>
  </si>
  <si>
    <t>2 cubes; water not costed</t>
  </si>
  <si>
    <t>2 celery stalks, chopped</t>
  </si>
  <si>
    <t>3–4 carrots, diced</t>
  </si>
  <si>
    <t>Fresh rosemary, thyme &amp; bay leaves (herb bouquet)</t>
  </si>
  <si>
    <t>Fresh rosemary, thyme &amp; bay leaves (herb bouquet) (part 2)</t>
  </si>
  <si>
    <t>Fresh rosemary, thyme &amp; bay leaves (herb bouquet) (part 3)</t>
  </si>
  <si>
    <t>1 Tbsp olive/canola oil</t>
  </si>
  <si>
    <t>9-piece chicken pack</t>
  </si>
  <si>
    <t>chicken_portions</t>
  </si>
  <si>
    <t>2 brown onions, finely diced</t>
  </si>
  <si>
    <t>2 Tbsp curry paste</t>
  </si>
  <si>
    <t>250 ml Chardonnay</t>
  </si>
  <si>
    <t>chardonnay</t>
  </si>
  <si>
    <t>½ cup reduced-fat coconut milk</t>
  </si>
  <si>
    <t>coconut_milk_lite</t>
  </si>
  <si>
    <t>1 bunch fresh coriander</t>
  </si>
  <si>
    <t>1 packet Farmhouse Chicken Soup</t>
  </si>
  <si>
    <t>1 cup frozen veggies, blanched</t>
  </si>
  <si>
    <t>frozen_veg</t>
  </si>
  <si>
    <t>2 rotisserie chicken breasts, chunked</t>
  </si>
  <si>
    <t>1–2 sheets puff pastry (250 g each)</t>
  </si>
  <si>
    <t>1-2 sheets - one 400 g roll</t>
  </si>
  <si>
    <t>Butter or egg wash</t>
  </si>
  <si>
    <t>Amount not given - assumed 1 egg</t>
  </si>
  <si>
    <t>Butter, for greasing</t>
  </si>
  <si>
    <t>Amount not given - assumed 10 g</t>
  </si>
  <si>
    <t>500 g All Bran Flakes, crushed</t>
  </si>
  <si>
    <t>all_bran</t>
  </si>
  <si>
    <t>500 g Corn Flakes, crushed</t>
  </si>
  <si>
    <t>corn_flakes</t>
  </si>
  <si>
    <t>300 g mixed nuts, chopped</t>
  </si>
  <si>
    <t>mixed_nuts</t>
  </si>
  <si>
    <t>300 g mixed dried fruit, diced</t>
  </si>
  <si>
    <t>dried_fruit</t>
  </si>
  <si>
    <t>250 g mixed seeds</t>
  </si>
  <si>
    <t>mixed_seeds</t>
  </si>
  <si>
    <t>1 kg self-raising flour</t>
  </si>
  <si>
    <t>self_raising_flour</t>
  </si>
  <si>
    <t>10 ml baking powder</t>
  </si>
  <si>
    <t>5 ml salt</t>
  </si>
  <si>
    <t>400 g yellow/brown sugar</t>
  </si>
  <si>
    <t>brown_sugar</t>
  </si>
  <si>
    <t>2 eggs, beaten</t>
  </si>
  <si>
    <t>500 g butter, melted</t>
  </si>
  <si>
    <t>500 ml buttermilk or plain yoghurt</t>
  </si>
  <si>
    <t>buttermilk</t>
  </si>
  <si>
    <t>5 ml vanilla essence</t>
  </si>
  <si>
    <t>Lemons</t>
  </si>
  <si>
    <t>Amount not given - assumed 6 lemons</t>
  </si>
  <si>
    <t>Coarse salt</t>
  </si>
  <si>
    <t>Freshly squeezed lemon juice (to cover)</t>
  </si>
  <si>
    <t>Amount not given - assumed juice of 4 lemons</t>
  </si>
  <si>
    <t>Apples, cored</t>
  </si>
  <si>
    <t>apples</t>
  </si>
  <si>
    <t>Amount not given - assumed 4 apples</t>
  </si>
  <si>
    <t>Chopped or flaked almonds</t>
  </si>
  <si>
    <t>Honey</t>
  </si>
  <si>
    <t>honey</t>
  </si>
  <si>
    <t>Cinnamon</t>
  </si>
  <si>
    <t>Amount not given - assumed 1 tsp</t>
  </si>
  <si>
    <t>Yoghurt, to serve</t>
  </si>
  <si>
    <t>Amount not given - assumed 200 g</t>
  </si>
  <si>
    <t>2 cups whole-wheat fusilli (dry)</t>
  </si>
  <si>
    <t>1 head broccoli, steamed &amp; chopped</t>
  </si>
  <si>
    <t>broccoli</t>
  </si>
  <si>
    <t>1 cup petit pois peas, steamed</t>
  </si>
  <si>
    <t>1 tub full-cream smooth cottage cheese</t>
  </si>
  <si>
    <t>cottage_cheese</t>
  </si>
  <si>
    <t>3 Tbsp pesto</t>
  </si>
  <si>
    <t>pesto</t>
  </si>
  <si>
    <t>Juice of 1 lemon</t>
  </si>
  <si>
    <t>Handful fresh herbs (basil &amp; mint)</t>
  </si>
  <si>
    <t>Handful fresh herbs (basil &amp; mint) (part 2)</t>
  </si>
  <si>
    <t>Protein topping: tuna, shredded chicken or roasted chickpeas</t>
  </si>
  <si>
    <t>Amount not given - assumed 2 tins tuna as the protein</t>
  </si>
  <si>
    <t>Brussels sprouts</t>
  </si>
  <si>
    <t>brussels</t>
  </si>
  <si>
    <t>Amount not given - assumed 300 g</t>
  </si>
  <si>
    <t>1 garlic clove, crushed</t>
  </si>
  <si>
    <t>3–4 rashers bacon, chopped</t>
  </si>
  <si>
    <t>bacon</t>
  </si>
  <si>
    <t>3-4 rashers at ~25 g</t>
  </si>
  <si>
    <t>1 whole butternut (skin on)</t>
  </si>
  <si>
    <t>butternut</t>
  </si>
  <si>
    <t>Frozen spinach &amp; feta (Dr. Oetker, Checkers)</t>
  </si>
  <si>
    <t>chopped_spinach</t>
  </si>
  <si>
    <t>SUBSTITUTE: Dr. Oetker frozen spinach &amp; feta (Checkers) - costed as spinach + feta</t>
  </si>
  <si>
    <t>Frozen spinach &amp; feta (Dr. Oetker, Checkers) (part 2)</t>
  </si>
  <si>
    <t>Carcass of a roast chicken + scraps (or 1 breast)</t>
  </si>
  <si>
    <t>chicken_breast_fillets</t>
  </si>
  <si>
    <t>Costed as 1 breast (a leftover carcass would be free)</t>
  </si>
  <si>
    <t>Onions or leeks</t>
  </si>
  <si>
    <t>Amount not given - assumed 2 onions</t>
  </si>
  <si>
    <t>Carrots</t>
  </si>
  <si>
    <t>Amount not given - assumed 2 carrots</t>
  </si>
  <si>
    <t>Baby marrows</t>
  </si>
  <si>
    <t>Amount not given - assumed 2 baby marrows</t>
  </si>
  <si>
    <t>Corn</t>
  </si>
  <si>
    <t>Amount not given - assumed 1 cob</t>
  </si>
  <si>
    <t>Potatoes</t>
  </si>
  <si>
    <t>Amount not given - assumed 2 potatoes</t>
  </si>
  <si>
    <t>1 packet cream of chicken soup powder</t>
  </si>
  <si>
    <t>1 cup milk (or reduced-fat coconut milk)</t>
  </si>
  <si>
    <t>Seasoning of choice</t>
  </si>
  <si>
    <t>1 cup oats</t>
  </si>
  <si>
    <t>oats</t>
  </si>
  <si>
    <t>1 cup oats = ~90 g</t>
  </si>
  <si>
    <t>40 g flaked almonds (½ cup)</t>
  </si>
  <si>
    <t>1 tsp baking powder</t>
  </si>
  <si>
    <t>2 tsp cinnamon (+ extra to sprinkle)</t>
  </si>
  <si>
    <t>1 tsp allspice</t>
  </si>
  <si>
    <t>allspice</t>
  </si>
  <si>
    <t>1 tsp sugar (+1 tsp for topping)</t>
  </si>
  <si>
    <t>3 ripe bananas, mashed</t>
  </si>
  <si>
    <t>bananas</t>
  </si>
  <si>
    <t>~6 bananas per 800 g</t>
  </si>
  <si>
    <t>1 banana, thinly sliced (topping)</t>
  </si>
  <si>
    <t>1 cup milk</t>
  </si>
  <si>
    <t>Full-cream yoghurt, to serve</t>
  </si>
  <si>
    <t>Amount not given - assumed 150 g</t>
  </si>
  <si>
    <t>1 handful baby spinach</t>
  </si>
  <si>
    <t>½ small red onion, chopped</t>
  </si>
  <si>
    <t>½ red pepper, chopped</t>
  </si>
  <si>
    <t>red_pepper</t>
  </si>
  <si>
    <t>2 hard-boiled eggs, quartered</t>
  </si>
  <si>
    <t>½ avocado, cubed</t>
  </si>
  <si>
    <t>1 Tbsp avocado oil (+ extra for dressing)</t>
  </si>
  <si>
    <t>avocado_oil</t>
  </si>
  <si>
    <t>⅓ cup tinned chickpeas, rinsed &amp; drained</t>
  </si>
  <si>
    <t>⅓ round feta, crumbled</t>
  </si>
  <si>
    <t>Balsamic vinegar</t>
  </si>
  <si>
    <t>balsamic_vinegar</t>
  </si>
  <si>
    <t>Fresh basil or coriander</t>
  </si>
  <si>
    <t>1 onion, chopped</t>
  </si>
  <si>
    <t>1 Tbsp olive oil</t>
  </si>
  <si>
    <t>2 Tbsp fresh coriander, chopped</t>
  </si>
  <si>
    <t>2 tsp fresh or dried oregano</t>
  </si>
  <si>
    <t>oregano</t>
  </si>
  <si>
    <t>Dried oregano used</t>
  </si>
  <si>
    <t>1 tsp ground cumin</t>
  </si>
  <si>
    <t>cumin</t>
  </si>
  <si>
    <t>1 tsp turmeric</t>
  </si>
  <si>
    <t>turmeric</t>
  </si>
  <si>
    <t>1 sachet (2 Tbsp) tomato paste</t>
  </si>
  <si>
    <t>2 cups chopped tomatoes</t>
  </si>
  <si>
    <t>2 cups chopped = ~3 tomatoes</t>
  </si>
  <si>
    <t>1 tin red kidney beans</t>
  </si>
  <si>
    <t>kidney_beans</t>
  </si>
  <si>
    <t>1 tin whole kernel corn (or 2 cobs)</t>
  </si>
  <si>
    <t>corn_tin</t>
  </si>
  <si>
    <t>1 cup beef stock</t>
  </si>
  <si>
    <t>Potatoes, steamed</t>
  </si>
  <si>
    <t>Toppings: avo, salsa, lettuce, jalapeños, coriander, cottage cheese, parmesan, lime</t>
  </si>
  <si>
    <t>Amount not given - assumed toppings costed as 1 avo + salsa + lettuce</t>
  </si>
  <si>
    <t>Toppings: avo, salsa, lettuce, jalapeños, coriander, cottage cheese, parmesan, lime (part 2)</t>
  </si>
  <si>
    <t>salsa</t>
  </si>
  <si>
    <t>Toppings: avo, salsa, lettuce, jalapeños, coriander, cottage cheese, parmesan, lime (part 3)</t>
  </si>
  <si>
    <t>iceberg</t>
  </si>
  <si>
    <t>600 g tub rosa tomatoes</t>
  </si>
  <si>
    <t>rosa_600</t>
  </si>
  <si>
    <t>1 red onion, chopped</t>
  </si>
  <si>
    <t>1 red pepper, sliced</t>
  </si>
  <si>
    <t>1 orange pepper, sliced</t>
  </si>
  <si>
    <t>yellow_pepper</t>
  </si>
  <si>
    <t>SUBSTITUTE: no single orange pepper - yellow used</t>
  </si>
  <si>
    <t>3 potatoes, pre-cooked, in wedges</t>
  </si>
  <si>
    <t>Olive oil spray + olive oil</t>
  </si>
  <si>
    <t>Amount not given - assumed 1 Tbsp + sprays</t>
  </si>
  <si>
    <t>Olive oil spray + olive oil (part 2)</t>
  </si>
  <si>
    <t>Salt &amp; black pepper</t>
  </si>
  <si>
    <t>Zest &amp; juice of 1 lemon</t>
  </si>
  <si>
    <t>Pork sausages</t>
  </si>
  <si>
    <t>Amount not given - assumed 1 pack</t>
  </si>
  <si>
    <t>Fresh basil, to garnish</t>
  </si>
  <si>
    <t>Beetroot, scrubbed &amp; quartered</t>
  </si>
  <si>
    <t>beetroot</t>
  </si>
  <si>
    <t>Amount not given - assumed 500 g</t>
  </si>
  <si>
    <t>3 handfuls baby spinach</t>
  </si>
  <si>
    <t>1 green apple, thinly sliced</t>
  </si>
  <si>
    <t>100 g soft goat's cheese</t>
  </si>
  <si>
    <t>goats_cheese</t>
  </si>
  <si>
    <t>50 g pistachios, chopped</t>
  </si>
  <si>
    <t>pistachios</t>
  </si>
  <si>
    <t>Dressing: ¼ cup olive oil</t>
  </si>
  <si>
    <t>Dressing: ¼ cup balsamic vinegar</t>
  </si>
  <si>
    <t>Dressing: 1 tsp Dijon mustard</t>
  </si>
  <si>
    <t>Dressing: 1 tsp honey</t>
  </si>
  <si>
    <t>Fresh mint leaves</t>
  </si>
  <si>
    <t>10–12 ripe tamarillos</t>
  </si>
  <si>
    <t>Tamarillos are not listed at Woolworths (seasonal)</t>
  </si>
  <si>
    <t>1 large apple, diced</t>
  </si>
  <si>
    <t>1 large red onion, grated</t>
  </si>
  <si>
    <t>½ cup brown sugar</t>
  </si>
  <si>
    <t>¼ cup white vinegar</t>
  </si>
  <si>
    <t>½ tsp red chilli powder</t>
  </si>
  <si>
    <t>chilli_powder</t>
  </si>
  <si>
    <t>¾ tsp allspice</t>
  </si>
  <si>
    <t>1 cup dried chickpeas, soaked overnight</t>
  </si>
  <si>
    <t>dried_chickpeas</t>
  </si>
  <si>
    <t>1 cup dried = ~200 g</t>
  </si>
  <si>
    <t>1 butternut, cubed (or 500 g pre-cut)</t>
  </si>
  <si>
    <t>1 Tbsp garam masala</t>
  </si>
  <si>
    <t>garam_masala</t>
  </si>
  <si>
    <t>1 knob ginger, grated</t>
  </si>
  <si>
    <t>1 knob taken as ~30 g</t>
  </si>
  <si>
    <t>3 garlic cloves, crushed</t>
  </si>
  <si>
    <t>2 cups vegetable or chicken stock</t>
  </si>
  <si>
    <t>veg_stock</t>
  </si>
  <si>
    <t>1 handful fresh coriander (+ extra to serve)</t>
  </si>
  <si>
    <t>⅓ cup plain yoghurt</t>
  </si>
  <si>
    <t>Mrs Balls chutney, to serve</t>
  </si>
  <si>
    <t>chutney</t>
  </si>
  <si>
    <t>Lancewood Double Cream Strawberries &amp; Cream yoghurt</t>
  </si>
  <si>
    <t>strawberry_yoghurt</t>
  </si>
  <si>
    <t>SUBSTITUTE: Lancewood Strawberries &amp; Cream not sold at Woolworths. Amount not given - assumed 1 x 1 kg tub</t>
  </si>
  <si>
    <t>Fresh berries, to top</t>
  </si>
  <si>
    <t>berries</t>
  </si>
  <si>
    <t>Amount not given - assumed 125 g</t>
  </si>
  <si>
    <t>1 large red onion, sliced</t>
  </si>
  <si>
    <t>1 chicken stock cube or gel</t>
  </si>
  <si>
    <t>chicken_stock_tubs</t>
  </si>
  <si>
    <t>Juice of 2 lemons</t>
  </si>
  <si>
    <t>2 cups boiling water</t>
  </si>
  <si>
    <t>1 cup raw orzo</t>
  </si>
  <si>
    <t>orzo</t>
  </si>
  <si>
    <t>1 cup orzo = ~190 g</t>
  </si>
  <si>
    <t>2 garlic cloves, grated</t>
  </si>
  <si>
    <t>9-pack chicken thighs &amp; legs (skin on)</t>
  </si>
  <si>
    <t>chicken_thighs_drums</t>
  </si>
  <si>
    <t>Closest pack ~900 g</t>
  </si>
  <si>
    <t>½ punnet baby marrows, chopped</t>
  </si>
  <si>
    <t>1 cup frozen petit pois peas</t>
  </si>
  <si>
    <t>1 lemon, halved</t>
  </si>
  <si>
    <t>Feta, to crumble</t>
  </si>
  <si>
    <t>Medium potatoes</t>
  </si>
  <si>
    <t>Amount not given - assumed 1 kg</t>
  </si>
  <si>
    <t>Rosemary</t>
  </si>
  <si>
    <t>180 g butter, melted</t>
  </si>
  <si>
    <t>½ cup sugar</t>
  </si>
  <si>
    <t>1 cup flour</t>
  </si>
  <si>
    <t>1 cup desiccated coconut</t>
  </si>
  <si>
    <t>desiccated_coconut</t>
  </si>
  <si>
    <t>½ tsp baking powder</t>
  </si>
  <si>
    <t>2 Tbsp cocoa powder</t>
  </si>
  <si>
    <t>¼ cup chocolate chips, melted</t>
  </si>
  <si>
    <t>choc_chips</t>
  </si>
  <si>
    <t>500 g frozen haddock</t>
  </si>
  <si>
    <t>haddock</t>
  </si>
  <si>
    <t>1 cup low-fat milk</t>
  </si>
  <si>
    <t>1 Tbsp corn starch</t>
  </si>
  <si>
    <t>corn_starch</t>
  </si>
  <si>
    <t>40–60 g mozzarella</t>
  </si>
  <si>
    <t>mozzarella</t>
  </si>
  <si>
    <t>Fresh chives</t>
  </si>
  <si>
    <t>~3 cups soft herbs (basil, coriander, flat-leaf parsley, mint)</t>
  </si>
  <si>
    <t>~3 cups herbs: 1 punnet each of basil, coriander, parsley, mint</t>
  </si>
  <si>
    <t>~3 cups soft herbs (basil, coriander, flat-leaf parsley, mint) (part 2)</t>
  </si>
  <si>
    <t>~3 cups soft herbs (basil, coriander, flat-leaf parsley, mint) (part 3)</t>
  </si>
  <si>
    <t>~3 cups soft herbs (basil, coriander, flat-leaf parsley, mint) (part 4)</t>
  </si>
  <si>
    <t>1 avocado</t>
  </si>
  <si>
    <t>1 chilli</t>
  </si>
  <si>
    <t>chilli</t>
  </si>
  <si>
    <t>~8 chillies per 50 g</t>
  </si>
  <si>
    <t>1 garlic clove</t>
  </si>
  <si>
    <t>1 small red onion</t>
  </si>
  <si>
    <t>⅓ cup avocado/olive/canola oil</t>
  </si>
  <si>
    <t>Canola chosen (cheapest of the three oils)</t>
  </si>
  <si>
    <t>Cauliflower</t>
  </si>
  <si>
    <t>cauliflower</t>
  </si>
  <si>
    <t>Amount not given - assumed 1 head</t>
  </si>
  <si>
    <t>Red &amp; yellow peppers</t>
  </si>
  <si>
    <t>Amount not given - assumed 1 red + 1 yellow</t>
  </si>
  <si>
    <t>Red &amp; yellow peppers (part 2)</t>
  </si>
  <si>
    <t>Rosa tomatoes</t>
  </si>
  <si>
    <t>rosa_200</t>
  </si>
  <si>
    <t>Amount not given - assumed 1 punnet</t>
  </si>
  <si>
    <t>2 tins chickpeas, rinsed &amp; drained</t>
  </si>
  <si>
    <t>Red onions</t>
  </si>
  <si>
    <t>Amount not given - assumed 2 red onions</t>
  </si>
  <si>
    <t>90-second grains (Woolworths)</t>
  </si>
  <si>
    <t>grains_90s</t>
  </si>
  <si>
    <t>Amount not given - assumed 2 pouches</t>
  </si>
  <si>
    <t>Amount not given - assumed 100 g</t>
  </si>
  <si>
    <t>Green sauce or pesto</t>
  </si>
  <si>
    <t>Amount not given - assumed 3 Tbsp pesto</t>
  </si>
  <si>
    <t>180 g Cadbury chocolate slab</t>
  </si>
  <si>
    <t>cadbury</t>
  </si>
  <si>
    <t>Woolworths sells 150 g slabs, not 180 g</t>
  </si>
  <si>
    <t>1½ cups popped popcorn</t>
  </si>
  <si>
    <t>popcorn</t>
  </si>
  <si>
    <t>1.5 cups popped = ~15 g</t>
  </si>
  <si>
    <t>1 cup salted pretzels</t>
  </si>
  <si>
    <t>pretzels</t>
  </si>
  <si>
    <t>1 cup = ~40 g</t>
  </si>
  <si>
    <t>Smarties or Smartie eggs</t>
  </si>
  <si>
    <t>smarties</t>
  </si>
  <si>
    <t>Amount not given - assumed 1 x 70 g box</t>
  </si>
  <si>
    <t>Sprinkles (optional)</t>
  </si>
  <si>
    <t>sprinkles</t>
  </si>
  <si>
    <t>3 ripe bananas</t>
  </si>
  <si>
    <t>1 tsp vanilla essence</t>
  </si>
  <si>
    <t>3 Tbsp cocoa powder</t>
  </si>
  <si>
    <t>½ cup flour</t>
  </si>
  <si>
    <t>½ cup desiccated coconut</t>
  </si>
  <si>
    <t>2 heaped tsp baking powder</t>
  </si>
  <si>
    <t>2 Tbsp sugar</t>
  </si>
  <si>
    <t>Yoghurt &amp; cocoa, to serve</t>
  </si>
  <si>
    <t>Amount not given - assumed 150 g yoghurt (cocoa from the tub above)</t>
  </si>
  <si>
    <t>1 tsp cinnamon</t>
  </si>
  <si>
    <t>½ tsp mixed spice</t>
  </si>
  <si>
    <t>mixed_spice</t>
  </si>
  <si>
    <t>1 heaped tsp honey</t>
  </si>
  <si>
    <t>¾ cup evaporated milk</t>
  </si>
  <si>
    <t>evaporated_milk</t>
  </si>
  <si>
    <t>Handful chopped hot cross bun</t>
  </si>
  <si>
    <t>hot_cross_buns</t>
  </si>
  <si>
    <t>1 tsp cinnamon (+ extra to sprinkle)</t>
  </si>
  <si>
    <t>Handful chopped carrot muffin</t>
  </si>
  <si>
    <t>carrot_muffin</t>
  </si>
  <si>
    <t>Carrot cake crumble</t>
  </si>
  <si>
    <t>Costed as a second carrot muffin, crumbled</t>
  </si>
  <si>
    <t>Toasted pecans</t>
  </si>
  <si>
    <t>pecans</t>
  </si>
  <si>
    <t>2 ripe bananas</t>
  </si>
  <si>
    <t>1 heaped Tbsp cocoa powder</t>
  </si>
  <si>
    <t>½ cup evaporated milk</t>
  </si>
  <si>
    <t>Green-tinted desiccated coconut</t>
  </si>
  <si>
    <t>Amount not given - assumed 10 g (food colouring not costed)</t>
  </si>
  <si>
    <t>Small Easter eggs</t>
  </si>
  <si>
    <t>easter_eggs</t>
  </si>
  <si>
    <t>Amount not given - assumed 1 x 50 g bag</t>
  </si>
  <si>
    <t>Butternut or pumpkin (whole)</t>
  </si>
  <si>
    <t>Olive oil (+ spray)</t>
  </si>
  <si>
    <t>Olive oil (+ spray) (part 2)</t>
  </si>
  <si>
    <t>Feta</t>
  </si>
  <si>
    <t>Fresh sage leaves</t>
  </si>
  <si>
    <t>sage</t>
  </si>
  <si>
    <t>6 eggs</t>
  </si>
  <si>
    <t>Splash of milk</t>
  </si>
  <si>
    <t>Filling 1: cream cheese, chopped salami, feta, chives</t>
  </si>
  <si>
    <t>cream_cheese</t>
  </si>
  <si>
    <t>Amount not given - assumed per filling: 40 g cream cheese, 40 g salami, 30 g feta</t>
  </si>
  <si>
    <t>Filling 1: cream cheese, chopped salami, feta, chives (part 2)</t>
  </si>
  <si>
    <t>salami</t>
  </si>
  <si>
    <t>Filling 1: cream cheese, chopped salami, feta, chives (part 3)</t>
  </si>
  <si>
    <t>Filling 1: cream cheese, chopped salami, feta, chives (part 4)</t>
  </si>
  <si>
    <t>Filling 2: cream cheese, smoked salmon, chives, capers</t>
  </si>
  <si>
    <t>Amount not given - assumed 40 g cream cheese, 50 g salmon, 1 Tbsp capers</t>
  </si>
  <si>
    <t>Filling 2: cream cheese, smoked salmon, chives, capers (part 2)</t>
  </si>
  <si>
    <t>smoked_salmon</t>
  </si>
  <si>
    <t>Filling 2: cream cheese, smoked salmon, chives, capers (part 3)</t>
  </si>
  <si>
    <t>Filling 2: cream cheese, smoked salmon, chives, capers (part 4)</t>
  </si>
  <si>
    <t>capers</t>
  </si>
  <si>
    <t>Filling 3: cream cheese, leftover Mexican mince, pickled onions</t>
  </si>
  <si>
    <t>Amount not given - assumed leftover mince not costed</t>
  </si>
  <si>
    <t>Filling 3: cream cheese, leftover Mexican mince, pickled onions (part 2)</t>
  </si>
  <si>
    <t>pickled_onions</t>
  </si>
  <si>
    <t>Ready-made meatballs</t>
  </si>
  <si>
    <t>meatballs</t>
  </si>
  <si>
    <t>Amount not given - assumed 12 pk</t>
  </si>
  <si>
    <t>Mediterranean Cook-in Sauce (Woolworths)</t>
  </si>
  <si>
    <t>med_cook_in</t>
  </si>
  <si>
    <t>1 tin cherry tomatoes (or 1 punnet fresh)</t>
  </si>
  <si>
    <t>cherry_tomatoes_tin</t>
  </si>
  <si>
    <t>Handful pitted green olives, chopped</t>
  </si>
  <si>
    <t>green_olives</t>
  </si>
  <si>
    <t>1 round feta</t>
  </si>
  <si>
    <t>Fresh basil</t>
  </si>
  <si>
    <t>¼ cup milk</t>
  </si>
  <si>
    <t>1 heaped tsp wholegrain mustard</t>
  </si>
  <si>
    <t>wholegrain_mustard</t>
  </si>
  <si>
    <t>1 tsp bicarb (or 2 tsp baking powder)</t>
  </si>
  <si>
    <t>bicarb</t>
  </si>
  <si>
    <t>200 g baby spinach, blanched &amp; squeezed dry</t>
  </si>
  <si>
    <t>1 packet (~90 g drained) pitted olives, chopped</t>
  </si>
  <si>
    <t>1 small red onion, finely chopped</t>
  </si>
  <si>
    <t>1 tin pears in fruit juice, chopped (with juice)</t>
  </si>
  <si>
    <t>pears_tin</t>
  </si>
  <si>
    <t>3 Tbsp chia seeds</t>
  </si>
  <si>
    <t>1½ cups plain yoghurt</t>
  </si>
  <si>
    <t>½ cup oats</t>
  </si>
  <si>
    <t>Red onion</t>
  </si>
  <si>
    <t>Amount not given - assumed 1 onion</t>
  </si>
  <si>
    <t>1 tin artichokes (in brine)</t>
  </si>
  <si>
    <t>artichokes</t>
  </si>
  <si>
    <t>Closest match; check it is the tinned/brined type</t>
  </si>
  <si>
    <t>1 tin chickpeas, rinsed &amp; drained</t>
  </si>
  <si>
    <t>Lemon zest (+ squeeze of lemon)</t>
  </si>
  <si>
    <t>1 packet 90-second grains (Woolworths)</t>
  </si>
  <si>
    <t>~1½ rounds feta, crumbled</t>
  </si>
  <si>
    <t>2 tins whole tomatoes, puréed</t>
  </si>
  <si>
    <t>Diced tomatoes (cheapest tin) used for whole tomatoes</t>
  </si>
  <si>
    <t>1 tin lentils (optional)</t>
  </si>
  <si>
    <t>lentils_tin</t>
  </si>
  <si>
    <t>2 packets tomato paste</t>
  </si>
  <si>
    <t>Bunch fresh basil/thyme</t>
  </si>
  <si>
    <t>Bunch fresh basil/thyme (part 2)</t>
  </si>
  <si>
    <t>5 Veg Mince (above)</t>
  </si>
  <si>
    <t>Uses 5 Veg Mince</t>
  </si>
  <si>
    <t>5 Veg Mince (one batch)</t>
  </si>
  <si>
    <t>batch</t>
  </si>
  <si>
    <t>One batch of 5 Veg Mince</t>
  </si>
  <si>
    <t>Gem squash halves, steamed</t>
  </si>
  <si>
    <t>gem_squash</t>
  </si>
  <si>
    <t>Amount not given - assumed 6 halves</t>
  </si>
  <si>
    <t>Large mushrooms</t>
  </si>
  <si>
    <t>Amount not given - assumed 4 mushrooms</t>
  </si>
  <si>
    <t>Truffle oil (optional)</t>
  </si>
  <si>
    <t>truffle_oil</t>
  </si>
  <si>
    <t>1–2 Tbsp chutney</t>
  </si>
  <si>
    <t>1 head cauliflower, steamed</t>
  </si>
  <si>
    <t>¼ cup warm milk</t>
  </si>
  <si>
    <t>4–6 large eggplants, sliced</t>
  </si>
  <si>
    <t>brinjals</t>
  </si>
  <si>
    <t>4-6 large brinjals taken as ~1.5 kg</t>
  </si>
  <si>
    <t>White sauce: 1½ Tbsp butter</t>
  </si>
  <si>
    <t>White sauce: 3–4 Tbsp cake flour</t>
  </si>
  <si>
    <t>White sauce: ±1 cup milk</t>
  </si>
  <si>
    <t>White sauce: ½–1 tsp hot English mustard + salt</t>
  </si>
  <si>
    <t>Salt not costed</t>
  </si>
  <si>
    <t>2 x 350 ml bottles crushed tomato sauce (or 2 tins Italian tomatoes + 2 garlic cloves + 2 Tbsp Italian herbs)</t>
  </si>
  <si>
    <t>passata</t>
  </si>
  <si>
    <t>Grated white cheddar</t>
  </si>
  <si>
    <t>white_cheddar</t>
  </si>
  <si>
    <t>115 g (½ cup) butter, softened</t>
  </si>
  <si>
    <t>100 g (½ cup) brown sugar</t>
  </si>
  <si>
    <t>1 egg</t>
  </si>
  <si>
    <t>250 g (1 cup) peanut butter (sugar-free)</t>
  </si>
  <si>
    <t>½ tsp vanilla extract</t>
  </si>
  <si>
    <t>Vanilla essence used (extract costs ~6x more)</t>
  </si>
  <si>
    <t>190 g (1½ cups) cake flour</t>
  </si>
  <si>
    <t>½ tsp baking powder or bicarb</t>
  </si>
  <si>
    <t>500 ml fresh cream</t>
  </si>
  <si>
    <t>fresh_cream</t>
  </si>
  <si>
    <t>½ cup white sugar</t>
  </si>
  <si>
    <t>2 tsp vanilla extract</t>
  </si>
  <si>
    <t>Biscoff biscuits, crushed</t>
  </si>
  <si>
    <t>biscoff</t>
  </si>
  <si>
    <t>Amount not given - assumed 1 pack (12 biscuits)</t>
  </si>
  <si>
    <t>Total</t>
  </si>
  <si>
    <t>Packs to buy are rounded up per recipe and counted once on the first line that uses the product. The grand total counts the 5 Veg Mince batch again inside the three recipes that use it.</t>
  </si>
  <si>
    <t>Key</t>
  </si>
  <si>
    <t>Today's price (R)</t>
  </si>
  <si>
    <t>Regular price (R)</t>
  </si>
  <si>
    <t>Price used (R)</t>
  </si>
  <si>
    <t>Price per unit (R)</t>
  </si>
  <si>
    <t>On promotion?</t>
  </si>
  <si>
    <t>Note</t>
  </si>
  <si>
    <t>Link</t>
  </si>
  <si>
    <t>27 % Cocoa Milk Chocolate Drops 200 g</t>
  </si>
  <si>
    <t>g</t>
  </si>
  <si>
    <t>Open</t>
  </si>
  <si>
    <t>All Gold Original Tomato Sauce 500 ml</t>
  </si>
  <si>
    <t>ml</t>
  </si>
  <si>
    <t>Artichokes 350 g</t>
  </si>
  <si>
    <t>ea</t>
  </si>
  <si>
    <t>Asian Hoisin Sauce 150 ml</t>
  </si>
  <si>
    <t>Asian Medium Wholewheat Noodles 340 g</t>
  </si>
  <si>
    <t>nest</t>
  </si>
  <si>
    <t>Asian Rice Vinegar 200 ml</t>
  </si>
  <si>
    <t>Asian Sliced Ginger 120 g</t>
  </si>
  <si>
    <t>Avocado Oil 250 ml</t>
  </si>
  <si>
    <t>Ayrshire Cultured Low Fat Buttermilk 500 ml</t>
  </si>
  <si>
    <t>Ayrshire Full Cream Plain Yoghurt 500 g</t>
  </si>
  <si>
    <t>Baby Marrows 350 g</t>
  </si>
  <si>
    <t>Baby Spinach 200 g</t>
  </si>
  <si>
    <t>Bakers Cream Crackers 200 g</t>
  </si>
  <si>
    <t>Baking Powder 100 g</t>
  </si>
  <si>
    <t>Basil Pesto 140 g</t>
  </si>
  <si>
    <t>Beef Shin Avg 600 g</t>
  </si>
  <si>
    <t>Beef Stock Powder 150 g</t>
  </si>
  <si>
    <t>No stock cubes listed; 1 cube taken as 10 g powder</t>
  </si>
  <si>
    <t>Beetroot Min 500 g</t>
  </si>
  <si>
    <t>Bicarbonate Of Soda 200 g</t>
  </si>
  <si>
    <t>Bovril Meat And Vegetable Extract Spread 125 g</t>
  </si>
  <si>
    <t>Breakfast Seed Mix 250 g</t>
  </si>
  <si>
    <t>Brinjals 1 kg</t>
  </si>
  <si>
    <t>Brown Onion Flavoured Thickener 40 g</t>
  </si>
  <si>
    <t>Brown Onions 1 kg</t>
  </si>
  <si>
    <t>Brussels Sprouts 300 g</t>
  </si>
  <si>
    <t>Bulgur Wheat 500 g</t>
  </si>
  <si>
    <t>Bulk Pumpkin 800 g</t>
  </si>
  <si>
    <t>Burger Slaw 250 g</t>
  </si>
  <si>
    <t>Butter Chicken Cook-in-Sauce 400 g</t>
  </si>
  <si>
    <t>Butternut Avg 900 g</t>
  </si>
  <si>
    <t>Cadbury Dairy Milk Chocolate Bar 80 g</t>
  </si>
  <si>
    <t>Cadbury Dairy Milk Chocolate Slab 150 g</t>
  </si>
  <si>
    <t>Cake Wheat Flour 1 kg</t>
  </si>
  <si>
    <t>Canola Oil 750 ml</t>
  </si>
  <si>
    <t>Carrot &amp; Pecan Nut Muffins 4 pk</t>
  </si>
  <si>
    <t>Celery</t>
  </si>
  <si>
    <t>stick</t>
  </si>
  <si>
    <t>Chevin Goat's Full Fat Cheese 100 g</t>
  </si>
  <si>
    <t>Chia Seeds 250 g</t>
  </si>
  <si>
    <t>Chicken A La King Cook In Sauce 37 g</t>
  </si>
  <si>
    <t>Chicken Drumsticks &amp; Thighs Avg 900 g</t>
  </si>
  <si>
    <t>Chicken Mini Breast Fillets Avg 450 g</t>
  </si>
  <si>
    <t>Chicken Stock Concentrate Tubs 4 x 24 g</t>
  </si>
  <si>
    <t>Chickpeas (dried) 500 g</t>
  </si>
  <si>
    <t>Chickpeas in Brine 400 g</t>
  </si>
  <si>
    <t>Chilli Crunch 120 g</t>
  </si>
  <si>
    <t>Closest match to chilli oil</t>
  </si>
  <si>
    <t>Chilli Powder 45 g</t>
  </si>
  <si>
    <t>Chopped Spinach 200 g</t>
  </si>
  <si>
    <t>Coelsanus Non Pareilles Capers in Wine Vinegar 100 g</t>
  </si>
  <si>
    <t>Colman's Traditional Hot English Mustard 168 g</t>
  </si>
  <si>
    <t>Crosse and Blackwell Tangy Mayonnaise 750 g</t>
  </si>
  <si>
    <t>Desiccated Coconut 200 g</t>
  </si>
  <si>
    <t>Diced Wood Smoked Bacon 250 g</t>
  </si>
  <si>
    <t>1 rasher taken as 25 g</t>
  </si>
  <si>
    <t>Dijon Mustard 235 g</t>
  </si>
  <si>
    <t>Double Cream Ayrshire Strawberry Yoghurt 1 kg</t>
  </si>
  <si>
    <t>SUBSTITUTE: Lancewood Strawberries &amp; Cream not sold at Woolworths</t>
  </si>
  <si>
    <t>Extra Virgin Olive Oil Spray 250 ml</t>
  </si>
  <si>
    <t>FANTASTICAL Multi Coloured Eggs 50 g</t>
  </si>
  <si>
    <t>Farmhouse Chicken Soup 600 g</t>
  </si>
  <si>
    <t>Finely Ground Cinnamon Refill 30 g</t>
  </si>
  <si>
    <t>Free Range Beef Frikkadels 12 pk</t>
  </si>
  <si>
    <t>Free Range Beef Stroganoff Avg 500 g</t>
  </si>
  <si>
    <t>Free Range Chicken Portions Avg 1.2 kg</t>
  </si>
  <si>
    <t>Free Range Chicken Thighs Avg 500 g</t>
  </si>
  <si>
    <t>Free Range Lamb Frikkadels 12 pk</t>
  </si>
  <si>
    <t>Free Range Mixed Sizes Chilled Eggs 6 pk</t>
  </si>
  <si>
    <t>Free Range Skinless Thigh Mini Chicken Fillets Avg 800 g</t>
  </si>
  <si>
    <t>Fresh Basil 30 g</t>
  </si>
  <si>
    <t>punnet</t>
  </si>
  <si>
    <t>Fresh Bay Leaves 20 g</t>
  </si>
  <si>
    <t>Fresh Butter Rotis 6 x 75 g</t>
  </si>
  <si>
    <t>Fresh Chives 20 g</t>
  </si>
  <si>
    <t>Fresh Coriander 30 g</t>
  </si>
  <si>
    <t>Fresh Crushed Ginger 50 g</t>
  </si>
  <si>
    <t>Fresh Free Range Liquid Beef Stock 500 ml</t>
  </si>
  <si>
    <t>Fresh Liquid Vegetable Stock 500 ml</t>
  </si>
  <si>
    <t>Fresh Mint 20 g</t>
  </si>
  <si>
    <t>Fresh Parsley 30 g</t>
  </si>
  <si>
    <t>Fresh Peeled Garlic 50 g</t>
  </si>
  <si>
    <t>clove</t>
  </si>
  <si>
    <t>Fresh Rosemary 20 g</t>
  </si>
  <si>
    <t>Fresh Sage 20 g</t>
  </si>
  <si>
    <t>Fresh Thyme 20 g</t>
  </si>
  <si>
    <t>Fresh Wild Rocket 30 g</t>
  </si>
  <si>
    <t>Freshly Frozen Peas &amp; Sweetcorn Kernels 750 g</t>
  </si>
  <si>
    <t>Frozen Lightly Smoked Haddock Portions 500 g</t>
  </si>
  <si>
    <t>Frozen Petits Pois Peas 500 g</t>
  </si>
  <si>
    <t>Frozen Phyllo Pastry 500 g</t>
  </si>
  <si>
    <t>Frozen Puff Pastry Roll 400 g</t>
  </si>
  <si>
    <t>Fruit Free Hot Cross Buns 6 pk</t>
  </si>
  <si>
    <t>Fully Cooked Bulgur, Quinoa and Lentil 250 g</t>
  </si>
  <si>
    <t>Fully Cooked Coconut Jasmine Rice 250 g</t>
  </si>
  <si>
    <t>Fynbos Honey 250 g</t>
  </si>
  <si>
    <t>Garam Masala Blend 60 g</t>
  </si>
  <si>
    <t>Gem Squash Halves 6 pk</t>
  </si>
  <si>
    <t>German Mustard 235 g</t>
  </si>
  <si>
    <t>SUBSTITUTE: no Wimpy/American mustard listed</t>
  </si>
  <si>
    <t>Golden Delicious Apples 4 pk</t>
  </si>
  <si>
    <t>Granny Smith Apples 4 pk</t>
  </si>
  <si>
    <t>Grated Mature Cheddar Cheese 250 g</t>
  </si>
  <si>
    <t>Grated Mozzarella Cheese 250 g</t>
  </si>
  <si>
    <t>Ground Allspice 55 g</t>
  </si>
  <si>
    <t>Ground Cumin Refill 50 g</t>
  </si>
  <si>
    <t>Halaal Lean Beef Mince 500 g</t>
  </si>
  <si>
    <t>High Fibre Wholewheat Brown Bread 700 g</t>
  </si>
  <si>
    <t>slice</t>
  </si>
  <si>
    <t>~20 slices per loaf</t>
  </si>
  <si>
    <t>Hot Green Finger Chillies 50 g</t>
  </si>
  <si>
    <t>House Chardonnay 750 ml</t>
  </si>
  <si>
    <t>House Sauvignon Blanc 750 ml</t>
  </si>
  <si>
    <t>Italian Herbs Refill 10 g</t>
  </si>
  <si>
    <t>Italian Tomato Puree 660 ml</t>
  </si>
  <si>
    <t>Jungle Oats 1 kg</t>
  </si>
  <si>
    <t>Kellogg's All Bran Flakes 500 g</t>
  </si>
  <si>
    <t>Kellogg's Corn Flakes 500 g</t>
  </si>
  <si>
    <t>Kikkoman Less Salt Soy Sauce 150 ml</t>
  </si>
  <si>
    <t>Koo Whole Kernel Corn in Brine 410 g</t>
  </si>
  <si>
    <t>Large Potatoes 2 kg</t>
  </si>
  <si>
    <t>Lemons 3 pk</t>
  </si>
  <si>
    <t>Lentils in Tomato Brine 400 g</t>
  </si>
  <si>
    <t>Light Brown Sugar 1 kg</t>
  </si>
  <si>
    <t>Light Meat Tuna Shredded in Brine 170 g</t>
  </si>
  <si>
    <t>Long Life Full Cream Milk 1 L</t>
  </si>
  <si>
    <t>Long Life Low Fat Milk 1 L</t>
  </si>
  <si>
    <t>Lotus Biscoff Biscuits 6 x 2 pk</t>
  </si>
  <si>
    <t>Luxury Steak Sauce 200 ml</t>
  </si>
  <si>
    <t>Maizena Cornflour 500 g</t>
  </si>
  <si>
    <t>Mediterranean Tomato Cook-in-Sauce 400 g</t>
  </si>
  <si>
    <t>Medium Carrots 500 g</t>
  </si>
  <si>
    <t>Medium Rotisserie Chicken</t>
  </si>
  <si>
    <t>Mild Salsa 400 g</t>
  </si>
  <si>
    <t>Mixed Leaf Salad 180 g</t>
  </si>
  <si>
    <t>Mixed Spice 45 g</t>
  </si>
  <si>
    <t>Moroccan Style Chickpea and Chicken Soup 400 g</t>
  </si>
  <si>
    <t>Mrs H.S.Ball's Original Recipe Chutney 470 g</t>
  </si>
  <si>
    <t>Mushroom Soup 600 g</t>
  </si>
  <si>
    <t>Nestle Ideal Unsweetened Evaporated Milk 380 g</t>
  </si>
  <si>
    <t>Nestle Smarties 70 g</t>
  </si>
  <si>
    <t>No Added Salt and Sugar Peanut Butter 400 g</t>
  </si>
  <si>
    <t>Oak Smoked Salmon Ribbons 50 g</t>
  </si>
  <si>
    <t>Oregano Refill 15 g</t>
  </si>
  <si>
    <t>Organic Bananas Min 800 g</t>
  </si>
  <si>
    <t>Organic Blueberries 125 g</t>
  </si>
  <si>
    <t>Organic Full Cream Plain Smooth Cottage Cheese 250 g</t>
  </si>
  <si>
    <t>Organic Sesame Oil 250 ml</t>
  </si>
  <si>
    <t>Orzo Pasta 500 g</t>
  </si>
  <si>
    <t>Passata Rustica Crushed Tomato with Basil 340 ml</t>
  </si>
  <si>
    <t>Pear Halves in Fruit Juice 420 g</t>
  </si>
  <si>
    <t>Pecan Pieces 100 g</t>
  </si>
  <si>
    <t>Peeled and Diced Tomatoes 400 g</t>
  </si>
  <si>
    <t>Pick &amp; Mix Solo Leaf Iceberg Lettuce 135 g</t>
  </si>
  <si>
    <t>Pickled Red Onion Petals 90 g</t>
  </si>
  <si>
    <t>Pitted Green Manzanilla Olives 180 g</t>
  </si>
  <si>
    <t>Pitted Medjool Dates 150 g</t>
  </si>
  <si>
    <t>Plain Crema - Balsamic Vinegar Reduction 150 ml</t>
  </si>
  <si>
    <t>Plain Medium Fat Cream Cheese 250 g</t>
  </si>
  <si>
    <t>Plain South African Feta Cheese 100 g</t>
  </si>
  <si>
    <t>Pomegranate Rubies 175 g</t>
  </si>
  <si>
    <t>Pork Fillet Avg 400 g</t>
  </si>
  <si>
    <t>Pork Sizzlers 6 pk</t>
  </si>
  <si>
    <t>Portabello Mushrooms 4 pk</t>
  </si>
  <si>
    <t>Prince Albert Extra Virgin Olive Oil 250 ml</t>
  </si>
  <si>
    <t>Pumpkin Seeds 250 g</t>
  </si>
  <si>
    <t>Raw Flaked Almonds 100 g</t>
  </si>
  <si>
    <t>Raw Luxury Tree Nuts 100 g</t>
  </si>
  <si>
    <t>Raw Shelled Pistachios 100 g</t>
  </si>
  <si>
    <t>Red Kidney Beans in Brine 400 g</t>
  </si>
  <si>
    <t>Red Onions 1 kg</t>
  </si>
  <si>
    <t>Reduced Fat Coconut Milk 400 ml</t>
  </si>
  <si>
    <t>Ripen at Home Loose Avocado</t>
  </si>
  <si>
    <t>Rosa Tomatoes 200 g</t>
  </si>
  <si>
    <t>Rosa Tomatoes 400 g</t>
  </si>
  <si>
    <t>Rosa Tomatoes 600 g</t>
  </si>
  <si>
    <t>Salted Butter 250 g</t>
  </si>
  <si>
    <t>Salted Pretzel Thins 80 g</t>
  </si>
  <si>
    <t>Sardines in Vegetable Oil 120 g</t>
  </si>
  <si>
    <t>Sea Salted Air Popped Corn 90 g</t>
  </si>
  <si>
    <t>Self-Raising Wheat Flour 1 kg</t>
  </si>
  <si>
    <t>Shelled Edamame Legumes 110 g</t>
  </si>
  <si>
    <t>Single Red Pepper</t>
  </si>
  <si>
    <t>Single Yellow Pepper</t>
  </si>
  <si>
    <t>Sliced Butter Basted Chicken Breast 300 g</t>
  </si>
  <si>
    <t>Sliced Button Mushrooms 250 g</t>
  </si>
  <si>
    <t>Slicing Tomatoes 4 pk</t>
  </si>
  <si>
    <t>Smoked Sliced Salami 100 g</t>
  </si>
  <si>
    <t>Soft Eating Orchard Fruit Mix 400 g</t>
  </si>
  <si>
    <t>South African Grated Medium Fat Hard Cheese 60 g</t>
  </si>
  <si>
    <t>Spring Onions 100 g</t>
  </si>
  <si>
    <t>bunch</t>
  </si>
  <si>
    <t>Sunflower Seeds 250 g</t>
  </si>
  <si>
    <t>Sweetcorn 2 pk</t>
  </si>
  <si>
    <t>Tikka Paste 200 g</t>
  </si>
  <si>
    <t>Toasted Ciabatta Breadcrumbs 180 g</t>
  </si>
  <si>
    <t>Tomato and Onion Mix 410 g</t>
  </si>
  <si>
    <t>Tomato Paste 70 g</t>
  </si>
  <si>
    <t>Tomato Soup 400 g</t>
  </si>
  <si>
    <t>Truffle Flavoured Olive Oil 100 ml</t>
  </si>
  <si>
    <t>Turmeric Refill 55 g</t>
  </si>
  <si>
    <t>Unicorn Medley Sprinkles 40 g</t>
  </si>
  <si>
    <t>Unsweetened Cocoa Powder 150 g</t>
  </si>
  <si>
    <t>Vanilla Essence 50 ml</t>
  </si>
  <si>
    <t>Wasabi-O Wasabi Paste 43 g</t>
  </si>
  <si>
    <t>Paste - no wasabi sauce listed</t>
  </si>
  <si>
    <t>Whipping Cream 500 ml</t>
  </si>
  <si>
    <t>White Mature Cheddar Cheese 240 g</t>
  </si>
  <si>
    <t>White Sesame Seeds 250 g</t>
  </si>
  <si>
    <t>White Spirit Vinegar 750 ml</t>
  </si>
  <si>
    <t>White Sugar 1 kg</t>
  </si>
  <si>
    <t>Whole Broccoli Avg 400 g</t>
  </si>
  <si>
    <t>Whole Cauliflower Avg 500 g</t>
  </si>
  <si>
    <t>Whole Grain Mustard 210 g</t>
  </si>
  <si>
    <t>Whole Spinach 350 g</t>
  </si>
  <si>
    <t>Whole Unpeeled Cherry Tomatoes 400 g</t>
  </si>
  <si>
    <t>Whole Wheat Fusilli 500 g</t>
  </si>
  <si>
    <t>Willow Creek Cabernet Sauvignon Balsamic Vinegar 250 ml</t>
  </si>
  <si>
    <t>Willow Creek Lemon Flavoured Olive Oil 250 ml</t>
  </si>
  <si>
    <t>Woolworths recipe costing</t>
  </si>
  <si>
    <t>Price basis (choose)</t>
  </si>
  <si>
    <t>Today</t>
  </si>
  <si>
    <t>"Today" uses the price shown on woolworths.co.za on 6 Oct 2026, including any promotion. "Regular" uses the pre-promotion price where an item was on promotion.</t>
  </si>
  <si>
    <t>Prices captured</t>
  </si>
  <si>
    <t>woolworths.co.za online prices, 6 October 2026 (Cape Town region). Prices change often and some items differ in store.</t>
  </si>
  <si>
    <t>Product choice</t>
  </si>
  <si>
    <t>Cheapest Woolworths item that matches the ingredient. Where the recipe names a specific pack (e.g. 600 g fresh soup, 400 g punnet) that pack is used.</t>
  </si>
  <si>
    <t>Two costs per recipe</t>
  </si>
  <si>
    <t>Cost per make = only the share of each pack the recipe uses. Shop-from-scratch = full packs you would have to buy (packs are rounded up per recipe).</t>
  </si>
  <si>
    <t>Left out</t>
  </si>
  <si>
    <t>Salt, pepper, water and "seasoning of choice" are not costed, as agreed.</t>
  </si>
  <si>
    <t>Psyllium husk (Bovril Seed Crackers) and tamarillos (Tree Tomato Chutney) are not sold, so those recipes are understated. Sambals with the curry are not costed.</t>
  </si>
  <si>
    <t>Substitutes</t>
  </si>
  <si>
    <t>Where Woolworths does not stock the named item a close match is used and flagged in yellow on the Ingredient Costing sheet (e.g. HP sauce, Knorr soups, Lancewood yoghurt, Woolworths butter chicken and Moroccan lamb soups, Dr. Oetker spinach &amp; feta).</t>
  </si>
  <si>
    <t>Vague amounts</t>
  </si>
  <si>
    <t>Where the recipe gives no amount (e.g. "Feta, crumbled", "Fresh thyme") a sensible amount is assumed and written in the Note column. Change any blue Qty cell to update all totals.</t>
  </si>
  <si>
    <t>Conversions</t>
  </si>
  <si>
    <t>1 cup = 250 ml; 1 Tbsp = 15 ml; 1 tsp = 5 ml. Flour 125 g/cup; sugar 200 g/cup; oats 90 g/cup; peas 140 g/cup; 1 onion 150 g; 1 potato 200 g; 1 carrot 80 g; 1 baby marrow 70 g; 1 feta round 100 g; 1 garlic clove from a 10-clove pack; fresh herbs costed as a share of a punnet.</t>
  </si>
  <si>
    <t>Meat, butternut, broccoli and cauliflower are sold by average weight, so the till price can differ slightly.</t>
  </si>
  <si>
    <t>5 Veg Mince recipes</t>
  </si>
  <si>
    <t>Mince in Gems, Mince on Mushrooms and Low-Carb Cottage Pie each include one full batch of 5 Veg Mince (pulled live from that recipe).</t>
  </si>
  <si>
    <t>Colour key</t>
  </si>
  <si>
    <t>Blue = numbers you can change. Yellow row = substitute or assumption worth checking. Red row = not available at Woolworths. Grey = basic left out.</t>
  </si>
  <si>
    <t>Ingredient</t>
  </si>
  <si>
    <t>Post</t>
  </si>
  <si>
    <t>Why it's not in the list</t>
  </si>
  <si>
    <t>Gran's Rustic Quiche</t>
  </si>
  <si>
    <t>Recipe only sent by DM (comment "recipe") – not in the caption</t>
  </si>
  <si>
    <t>https://www.instagram.com/jadeseeliger_dietitian/reel/Da2B-sGu-0Z/</t>
  </si>
  <si>
    <t>BBQ Pulled Pork Pitas</t>
  </si>
  <si>
    <t>Recipe only sent by DM (comment "RECIPE") – not in the caption</t>
  </si>
  <si>
    <t>https://www.instagram.com/jadeseeliger_dietitian/reel/DZ_qB70I2cw/</t>
  </si>
  <si>
    <t>Aroma-dough</t>
  </si>
  <si>
    <t>Scented play-dough for kids – not food</t>
  </si>
  <si>
    <t>https://www.instagram.com/jadeseeliger_dietitian/reel/DcP2s_qu3Jp/</t>
  </si>
  <si>
    <t>Bulgur wheat swap</t>
  </si>
  <si>
    <t>Cooking tip only (cover with boiling water, rest 5 min)</t>
  </si>
  <si>
    <t>https://www.instagram.com/jadeseeliger_dietitian/reel/DbU2L7UOQ3I/</t>
  </si>
  <si>
    <t>Rotisserie chicken meal prep</t>
  </si>
  <si>
    <t>Meal-prep tip, no recipe</t>
  </si>
  <si>
    <t>https://www.instagram.com/jadeseeliger_dietitian/reel/DcL_eyyu37c/</t>
  </si>
  <si>
    <t>Healthier pizzas</t>
  </si>
  <si>
    <t>No recipe in the caption</t>
  </si>
  <si>
    <t>https://www.instagram.com/jadeseeliger_dietitian/reel/DYEYHaytl2_/</t>
  </si>
  <si>
    <t>Eggplant dip</t>
  </si>
  <si>
    <t>Mentioned as 'coming soon' – not posted in this range</t>
  </si>
  <si>
    <t>https://www.instagram.com/jadeseeliger_dietitian/reel/DXZRk1eiPM0/</t>
  </si>
  <si>
    <t>Bovril Seed Crackers (repost)</t>
  </si>
  <si>
    <t>Duplicate – already listed</t>
  </si>
  <si>
    <t>https://www.instagram.com/jadeseeliger_dietitian/reel/DXTW3kbiMa6/</t>
  </si>
  <si>
    <t>Aroma-dough (repost)</t>
  </si>
  <si>
    <t>Duplicate, not food</t>
  </si>
  <si>
    <t>https://www.instagram.com/jadeseeliger_dietitian/reel/DXJQBPmjdxB/</t>
  </si>
  <si>
    <t>Hoisin Pork Fillet (repost)</t>
  </si>
  <si>
    <t>https://www.instagram.com/jadeseeliger_dietitian/reel/DVxZnYaCNw3/</t>
  </si>
  <si>
    <t>Toasted Chickpeas (repost)</t>
  </si>
  <si>
    <t>Same as Crispy Chickpeas (this version: lemon zest, 1 garlic clove, 190°C)</t>
  </si>
  <si>
    <t>https://www.instagram.com/jadeseeliger_dietitian/reel/DVK89ufiOMe/</t>
  </si>
  <si>
    <t>Green Pasta Salad (repost)</t>
  </si>
  <si>
    <t>https://www.instagram.com/jadeseeliger_dietitian/reel/DUzx8TYCBSN/</t>
  </si>
  <si>
    <t>Fancy Fish Paste (repost)</t>
  </si>
  <si>
    <t>https://www.instagram.com/jadeseeliger_dietitian/reel/DUZrvbyiFTV/</t>
  </si>
  <si>
    <t>Life lately photo post</t>
  </si>
  <si>
    <t>Mentions egg muffins, peanut bites, cornflour play-goo and pretzels – no recipes</t>
  </si>
  <si>
    <t>https://www.instagram.com/jadeseeliger_dietitian/p/DVcs6QmCDyI/</t>
  </si>
  <si>
    <t>Scope: Jade's latest 104 Instagram posts (incl. pinned), captured 6 Oct 2026. Rows 1–29 from posts 1–52; rows 30+ from posts 53–104. Ingredients are as written in her captions; some posts give no quantities.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</si>
</sst>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rgb="FF0563C1"/>
      <name val="Arial"/>
      <family val="2"/>
    </font>
    <font>
      <i/>
      <sz val="10"/>
      <color rgb="FF80808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EEF3F1"/>
        <bgColor rgb="FFFFFFFF"/>
      </patternFill>
    </fill>
    <fill>
      <patternFill patternType="solid">
        <fgColor rgb="FFFFF2CC"/>
        <bgColor rgb="FFEEF3F1"/>
      </patternFill>
    </fill>
    <fill>
      <patternFill patternType="solid">
        <fgColor rgb="FFF8D7DA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2" fillId="4" borderId="0" xfId="0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6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0" fillId="5" borderId="0" xfId="0" applyFill="1"/>
    <xf numFmtId="0" fontId="2" fillId="5" borderId="0" xfId="0" applyFont="1" applyFill="1"/>
    <xf numFmtId="0" fontId="2" fillId="5" borderId="0" xfId="0" applyFont="1" applyFill="1" applyAlignment="1">
      <alignment vertical="top" wrapText="1"/>
    </xf>
    <xf numFmtId="0" fontId="5" fillId="4" borderId="0" xfId="0" applyFont="1" applyFill="1"/>
    <xf numFmtId="0" fontId="4" fillId="4" borderId="0" xfId="0" applyFont="1" applyFill="1"/>
    <xf numFmtId="0" fontId="8" fillId="0" borderId="0" xfId="0" applyFont="1"/>
    <xf numFmtId="0" fontId="7" fillId="6" borderId="0" xfId="0" applyFont="1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jadeseeliger_dietitian/reel/DaUTxh4oGXQ/" TargetMode="External"/><Relationship Id="rId21" Type="http://schemas.openxmlformats.org/officeDocument/2006/relationships/hyperlink" Target="https://www.instagram.com/jadeseeliger_dietitian/reel/Da4gE8XN9J0/" TargetMode="External"/><Relationship Id="rId34" Type="http://schemas.openxmlformats.org/officeDocument/2006/relationships/hyperlink" Target="https://www.instagram.com/jadeseeliger_dietitian/reel/DY6PmelOPU2/" TargetMode="External"/><Relationship Id="rId42" Type="http://schemas.openxmlformats.org/officeDocument/2006/relationships/hyperlink" Target="https://www.instagram.com/jadeseeliger_dietitian/reel/DX_NPjeNBPa/" TargetMode="External"/><Relationship Id="rId47" Type="http://schemas.openxmlformats.org/officeDocument/2006/relationships/hyperlink" Target="https://www.instagram.com/jadeseeliger_dietitian/reel/DWiUs7POTux/" TargetMode="External"/><Relationship Id="rId50" Type="http://schemas.openxmlformats.org/officeDocument/2006/relationships/hyperlink" Target="https://www.instagram.com/jadeseeliger_dietitian/reel/DWn0AHfAMqa/" TargetMode="External"/><Relationship Id="rId55" Type="http://schemas.openxmlformats.org/officeDocument/2006/relationships/hyperlink" Target="https://www.instagram.com/jadeseeliger_dietitian/reel/DWYLgKviGbX/" TargetMode="External"/><Relationship Id="rId63" Type="http://schemas.openxmlformats.org/officeDocument/2006/relationships/hyperlink" Target="https://www.instagram.com/jadeseeliger_dietitian/reel/DVsQEZGCG7X/" TargetMode="External"/><Relationship Id="rId7" Type="http://schemas.openxmlformats.org/officeDocument/2006/relationships/hyperlink" Target="https://www.instagram.com/jadeseeliger_dietitian/reel/DdRkcBTuh1n/" TargetMode="External"/><Relationship Id="rId2" Type="http://schemas.openxmlformats.org/officeDocument/2006/relationships/hyperlink" Target="https://www.instagram.com/jadeseeliger_dietitian/reel/DeE9erkuKNG/" TargetMode="External"/><Relationship Id="rId16" Type="http://schemas.openxmlformats.org/officeDocument/2006/relationships/hyperlink" Target="https://www.instagram.com/jadeseeliger_dietitian/reel/Db4t8Boo3AZ/" TargetMode="External"/><Relationship Id="rId29" Type="http://schemas.openxmlformats.org/officeDocument/2006/relationships/hyperlink" Target="https://www.instagram.com/jadeseeliger_dietitian/reel/DaCPBuTuqHr/" TargetMode="External"/><Relationship Id="rId11" Type="http://schemas.openxmlformats.org/officeDocument/2006/relationships/hyperlink" Target="https://www.instagram.com/jadeseeliger_dietitian/reel/DdCER0yh3Ue/" TargetMode="External"/><Relationship Id="rId24" Type="http://schemas.openxmlformats.org/officeDocument/2006/relationships/hyperlink" Target="https://www.instagram.com/jadeseeliger_dietitian/reel/DaazZPvu04v/" TargetMode="External"/><Relationship Id="rId32" Type="http://schemas.openxmlformats.org/officeDocument/2006/relationships/hyperlink" Target="https://www.instagram.com/jadeseeliger_dietitian/reel/DZFM_ZHNgEu/" TargetMode="External"/><Relationship Id="rId37" Type="http://schemas.openxmlformats.org/officeDocument/2006/relationships/hyperlink" Target="https://www.instagram.com/jadeseeliger_dietitian/reel/DYlpQMkBPV8/" TargetMode="External"/><Relationship Id="rId40" Type="http://schemas.openxmlformats.org/officeDocument/2006/relationships/hyperlink" Target="https://www.instagram.com/jadeseeliger_dietitian/reel/DYJdzs4IfXq/" TargetMode="External"/><Relationship Id="rId45" Type="http://schemas.openxmlformats.org/officeDocument/2006/relationships/hyperlink" Target="https://www.instagram.com/jadeseeliger_dietitian/reel/DXl8EA3gHs1/" TargetMode="External"/><Relationship Id="rId53" Type="http://schemas.openxmlformats.org/officeDocument/2006/relationships/hyperlink" Target="https://www.instagram.com/jadeseeliger_dietitian/reel/DWiaDP0iBaP/" TargetMode="External"/><Relationship Id="rId58" Type="http://schemas.openxmlformats.org/officeDocument/2006/relationships/hyperlink" Target="https://www.instagram.com/jadeseeliger_dietitian/reel/DWDseQxjSaK/" TargetMode="External"/><Relationship Id="rId66" Type="http://schemas.openxmlformats.org/officeDocument/2006/relationships/hyperlink" Target="https://www.instagram.com/jadeseeliger_dietitian/reel/DVdMVbTDVqR/" TargetMode="External"/><Relationship Id="rId5" Type="http://schemas.openxmlformats.org/officeDocument/2006/relationships/hyperlink" Target="https://www.instagram.com/jadeseeliger_dietitian/reel/DdndJTwOoVo/" TargetMode="External"/><Relationship Id="rId61" Type="http://schemas.openxmlformats.org/officeDocument/2006/relationships/hyperlink" Target="https://www.instagram.com/jadeseeliger_dietitian/reel/DVsQEZGCG7X/" TargetMode="External"/><Relationship Id="rId19" Type="http://schemas.openxmlformats.org/officeDocument/2006/relationships/hyperlink" Target="https://www.instagram.com/jadeseeliger_dietitian/reel/DbZzODsuPHE/" TargetMode="External"/><Relationship Id="rId14" Type="http://schemas.openxmlformats.org/officeDocument/2006/relationships/hyperlink" Target="https://www.instagram.com/jadeseeliger_dietitian/reel/DcY3iuuBcHm/" TargetMode="External"/><Relationship Id="rId22" Type="http://schemas.openxmlformats.org/officeDocument/2006/relationships/hyperlink" Target="https://www.instagram.com/jadeseeliger_dietitian/reel/Das0_STuLkz/" TargetMode="External"/><Relationship Id="rId27" Type="http://schemas.openxmlformats.org/officeDocument/2006/relationships/hyperlink" Target="https://www.instagram.com/jadeseeliger_dietitian/reel/DaPPVqboff0/" TargetMode="External"/><Relationship Id="rId30" Type="http://schemas.openxmlformats.org/officeDocument/2006/relationships/hyperlink" Target="https://www.instagram.com/jadeseeliger_dietitian/reel/DZpHXNpOuYe/" TargetMode="External"/><Relationship Id="rId35" Type="http://schemas.openxmlformats.org/officeDocument/2006/relationships/hyperlink" Target="https://www.instagram.com/jadeseeliger_dietitian/reel/DYtXpbBOoEC/" TargetMode="External"/><Relationship Id="rId43" Type="http://schemas.openxmlformats.org/officeDocument/2006/relationships/hyperlink" Target="https://www.instagram.com/jadeseeliger_dietitian/reel/DX8kE48No57/" TargetMode="External"/><Relationship Id="rId48" Type="http://schemas.openxmlformats.org/officeDocument/2006/relationships/hyperlink" Target="https://www.instagram.com/jadeseeliger_dietitian/reel/DW20KYvun-g/" TargetMode="External"/><Relationship Id="rId56" Type="http://schemas.openxmlformats.org/officeDocument/2006/relationships/hyperlink" Target="https://www.instagram.com/jadeseeliger_dietitian/reel/DWVcuCauJAG/" TargetMode="External"/><Relationship Id="rId64" Type="http://schemas.openxmlformats.org/officeDocument/2006/relationships/hyperlink" Target="https://www.instagram.com/jadeseeliger_dietitian/reel/DVsQEZGCG7X/" TargetMode="External"/><Relationship Id="rId8" Type="http://schemas.openxmlformats.org/officeDocument/2006/relationships/hyperlink" Target="https://www.instagram.com/jadeseeliger_dietitian/reel/DdO8M8FuXEr/" TargetMode="External"/><Relationship Id="rId51" Type="http://schemas.openxmlformats.org/officeDocument/2006/relationships/hyperlink" Target="https://www.instagram.com/jadeseeliger_dietitian/reel/DWk5aawCEpt/" TargetMode="External"/><Relationship Id="rId3" Type="http://schemas.openxmlformats.org/officeDocument/2006/relationships/hyperlink" Target="https://www.instagram.com/jadeseeliger_dietitian/reel/Dd8O2VGO5wJ/" TargetMode="External"/><Relationship Id="rId12" Type="http://schemas.openxmlformats.org/officeDocument/2006/relationships/hyperlink" Target="https://www.instagram.com/jadeseeliger_dietitian/reel/Dcq5Ap0h3tG/" TargetMode="External"/><Relationship Id="rId17" Type="http://schemas.openxmlformats.org/officeDocument/2006/relationships/hyperlink" Target="https://www.instagram.com/jadeseeliger_dietitian/reel/DbzsQVWOSGG/" TargetMode="External"/><Relationship Id="rId25" Type="http://schemas.openxmlformats.org/officeDocument/2006/relationships/hyperlink" Target="https://www.instagram.com/jadeseeliger_dietitian/reel/DaUXbnuudIg/" TargetMode="External"/><Relationship Id="rId33" Type="http://schemas.openxmlformats.org/officeDocument/2006/relationships/hyperlink" Target="https://www.instagram.com/jadeseeliger_dietitian/reel/DY_ZN6ouE1U/" TargetMode="External"/><Relationship Id="rId38" Type="http://schemas.openxmlformats.org/officeDocument/2006/relationships/hyperlink" Target="https://www.instagram.com/jadeseeliger_dietitian/reel/DYgoWpzNlk8/" TargetMode="External"/><Relationship Id="rId46" Type="http://schemas.openxmlformats.org/officeDocument/2006/relationships/hyperlink" Target="https://www.instagram.com/jadeseeliger_dietitian/reel/DXOUk5FjW8t/" TargetMode="External"/><Relationship Id="rId59" Type="http://schemas.openxmlformats.org/officeDocument/2006/relationships/hyperlink" Target="https://www.instagram.com/jadeseeliger_dietitian/reel/DV-ugSADeko/" TargetMode="External"/><Relationship Id="rId67" Type="http://schemas.openxmlformats.org/officeDocument/2006/relationships/hyperlink" Target="https://www.instagram.com/jadeseeliger_dietitian/reel/DU7hE3UiBVI/" TargetMode="External"/><Relationship Id="rId20" Type="http://schemas.openxmlformats.org/officeDocument/2006/relationships/hyperlink" Target="https://www.instagram.com/jadeseeliger_dietitian/reel/DbPrvYPovhA/" TargetMode="External"/><Relationship Id="rId41" Type="http://schemas.openxmlformats.org/officeDocument/2006/relationships/hyperlink" Target="https://www.instagram.com/jadeseeliger_dietitian/reel/DYB1PYBA3PO/" TargetMode="External"/><Relationship Id="rId54" Type="http://schemas.openxmlformats.org/officeDocument/2006/relationships/hyperlink" Target="https://www.instagram.com/jadeseeliger_dietitian/reel/DWiaDP0iBaP/" TargetMode="External"/><Relationship Id="rId62" Type="http://schemas.openxmlformats.org/officeDocument/2006/relationships/hyperlink" Target="https://www.instagram.com/jadeseeliger_dietitian/reel/DVsQEZGCG7X/" TargetMode="External"/><Relationship Id="rId1" Type="http://schemas.openxmlformats.org/officeDocument/2006/relationships/hyperlink" Target="https://www.instagram.com/jadeseeliger_dietitian/reel/C4Pw3ETK0PZ/" TargetMode="External"/><Relationship Id="rId6" Type="http://schemas.openxmlformats.org/officeDocument/2006/relationships/hyperlink" Target="https://www.instagram.com/jadeseeliger_dietitian/reel/DdVYOW3OQ-B/" TargetMode="External"/><Relationship Id="rId15" Type="http://schemas.openxmlformats.org/officeDocument/2006/relationships/hyperlink" Target="https://www.instagram.com/jadeseeliger_dietitian/reel/DcG166Oha4t/" TargetMode="External"/><Relationship Id="rId23" Type="http://schemas.openxmlformats.org/officeDocument/2006/relationships/hyperlink" Target="https://www.instagram.com/jadeseeliger_dietitian/reel/DakMzNMO917/" TargetMode="External"/><Relationship Id="rId28" Type="http://schemas.openxmlformats.org/officeDocument/2006/relationships/hyperlink" Target="https://www.instagram.com/jadeseeliger_dietitian/reel/DaIkGT8OKmp/" TargetMode="External"/><Relationship Id="rId36" Type="http://schemas.openxmlformats.org/officeDocument/2006/relationships/hyperlink" Target="https://www.instagram.com/jadeseeliger_dietitian/reel/DYtXm0OBIgB/" TargetMode="External"/><Relationship Id="rId49" Type="http://schemas.openxmlformats.org/officeDocument/2006/relationships/hyperlink" Target="https://www.instagram.com/jadeseeliger_dietitian/reel/DW0WURuunVB/" TargetMode="External"/><Relationship Id="rId57" Type="http://schemas.openxmlformats.org/officeDocument/2006/relationships/hyperlink" Target="https://www.instagram.com/jadeseeliger_dietitian/reel/DWQTKXCO4Zo/" TargetMode="External"/><Relationship Id="rId10" Type="http://schemas.openxmlformats.org/officeDocument/2006/relationships/hyperlink" Target="https://www.instagram.com/jadeseeliger_dietitian/reel/DdCENQ7u7V6/" TargetMode="External"/><Relationship Id="rId31" Type="http://schemas.openxmlformats.org/officeDocument/2006/relationships/hyperlink" Target="https://www.instagram.com/jadeseeliger_dietitian/reel/DZEi1dDuDX6/" TargetMode="External"/><Relationship Id="rId44" Type="http://schemas.openxmlformats.org/officeDocument/2006/relationships/hyperlink" Target="https://www.instagram.com/jadeseeliger_dietitian/reel/DXqa8bVOgo3/" TargetMode="External"/><Relationship Id="rId52" Type="http://schemas.openxmlformats.org/officeDocument/2006/relationships/hyperlink" Target="https://www.instagram.com/jadeseeliger_dietitian/reel/DWiaDP0iBaP/" TargetMode="External"/><Relationship Id="rId60" Type="http://schemas.openxmlformats.org/officeDocument/2006/relationships/hyperlink" Target="https://www.instagram.com/jadeseeliger_dietitian/reel/DV-ugSADeko/" TargetMode="External"/><Relationship Id="rId65" Type="http://schemas.openxmlformats.org/officeDocument/2006/relationships/hyperlink" Target="https://www.instagram.com/jadeseeliger_dietitian/reel/DVfpC7FiEPn/" TargetMode="External"/><Relationship Id="rId4" Type="http://schemas.openxmlformats.org/officeDocument/2006/relationships/hyperlink" Target="https://www.instagram.com/jadeseeliger_dietitian/reel/Ddy_YDmuIFf/" TargetMode="External"/><Relationship Id="rId9" Type="http://schemas.openxmlformats.org/officeDocument/2006/relationships/hyperlink" Target="https://www.instagram.com/jadeseeliger_dietitian/reel/DdHG5X4uiMl/" TargetMode="External"/><Relationship Id="rId13" Type="http://schemas.openxmlformats.org/officeDocument/2006/relationships/hyperlink" Target="https://www.instagram.com/jadeseeliger_dietitian/reel/Dcd6OEguGZz/" TargetMode="External"/><Relationship Id="rId18" Type="http://schemas.openxmlformats.org/officeDocument/2006/relationships/hyperlink" Target="https://www.instagram.com/jadeseeliger_dietitian/reel/Dbmw4hGOUVZ/" TargetMode="External"/><Relationship Id="rId39" Type="http://schemas.openxmlformats.org/officeDocument/2006/relationships/hyperlink" Target="https://www.instagram.com/jadeseeliger_dietitian/reel/DYQ7v4toyPX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stagram.com/jadeseeliger_dietitian/reel/DaUTxh4oGXQ/" TargetMode="External"/><Relationship Id="rId21" Type="http://schemas.openxmlformats.org/officeDocument/2006/relationships/hyperlink" Target="https://www.instagram.com/jadeseeliger_dietitian/reel/Da4gE8XN9J0/" TargetMode="External"/><Relationship Id="rId34" Type="http://schemas.openxmlformats.org/officeDocument/2006/relationships/hyperlink" Target="https://www.instagram.com/jadeseeliger_dietitian/reel/DY6PmelOPU2/" TargetMode="External"/><Relationship Id="rId42" Type="http://schemas.openxmlformats.org/officeDocument/2006/relationships/hyperlink" Target="https://www.instagram.com/jadeseeliger_dietitian/reel/DX_NPjeNBPa/" TargetMode="External"/><Relationship Id="rId47" Type="http://schemas.openxmlformats.org/officeDocument/2006/relationships/hyperlink" Target="https://www.instagram.com/jadeseeliger_dietitian/reel/DWiUs7POTux/" TargetMode="External"/><Relationship Id="rId50" Type="http://schemas.openxmlformats.org/officeDocument/2006/relationships/hyperlink" Target="https://www.instagram.com/jadeseeliger_dietitian/reel/DWn0AHfAMqa/" TargetMode="External"/><Relationship Id="rId55" Type="http://schemas.openxmlformats.org/officeDocument/2006/relationships/hyperlink" Target="https://www.instagram.com/jadeseeliger_dietitian/reel/DWYLgKviGbX/" TargetMode="External"/><Relationship Id="rId63" Type="http://schemas.openxmlformats.org/officeDocument/2006/relationships/hyperlink" Target="https://www.instagram.com/jadeseeliger_dietitian/reel/DVsQEZGCG7X/" TargetMode="External"/><Relationship Id="rId7" Type="http://schemas.openxmlformats.org/officeDocument/2006/relationships/hyperlink" Target="https://www.instagram.com/jadeseeliger_dietitian/reel/DdRkcBTuh1n/" TargetMode="External"/><Relationship Id="rId2" Type="http://schemas.openxmlformats.org/officeDocument/2006/relationships/hyperlink" Target="https://www.instagram.com/jadeseeliger_dietitian/reel/DeE9erkuKNG/" TargetMode="External"/><Relationship Id="rId16" Type="http://schemas.openxmlformats.org/officeDocument/2006/relationships/hyperlink" Target="https://www.instagram.com/jadeseeliger_dietitian/reel/Db4t8Boo3AZ/" TargetMode="External"/><Relationship Id="rId29" Type="http://schemas.openxmlformats.org/officeDocument/2006/relationships/hyperlink" Target="https://www.instagram.com/jadeseeliger_dietitian/reel/DaCPBuTuqHr/" TargetMode="External"/><Relationship Id="rId11" Type="http://schemas.openxmlformats.org/officeDocument/2006/relationships/hyperlink" Target="https://www.instagram.com/jadeseeliger_dietitian/reel/DdCER0yh3Ue/" TargetMode="External"/><Relationship Id="rId24" Type="http://schemas.openxmlformats.org/officeDocument/2006/relationships/hyperlink" Target="https://www.instagram.com/jadeseeliger_dietitian/reel/DaazZPvu04v/" TargetMode="External"/><Relationship Id="rId32" Type="http://schemas.openxmlformats.org/officeDocument/2006/relationships/hyperlink" Target="https://www.instagram.com/jadeseeliger_dietitian/reel/DZFM_ZHNgEu/" TargetMode="External"/><Relationship Id="rId37" Type="http://schemas.openxmlformats.org/officeDocument/2006/relationships/hyperlink" Target="https://www.instagram.com/jadeseeliger_dietitian/reel/DYlpQMkBPV8/" TargetMode="External"/><Relationship Id="rId40" Type="http://schemas.openxmlformats.org/officeDocument/2006/relationships/hyperlink" Target="https://www.instagram.com/jadeseeliger_dietitian/reel/DYJdzs4IfXq/" TargetMode="External"/><Relationship Id="rId45" Type="http://schemas.openxmlformats.org/officeDocument/2006/relationships/hyperlink" Target="https://www.instagram.com/jadeseeliger_dietitian/reel/DXl8EA3gHs1/" TargetMode="External"/><Relationship Id="rId53" Type="http://schemas.openxmlformats.org/officeDocument/2006/relationships/hyperlink" Target="https://www.instagram.com/jadeseeliger_dietitian/reel/DWiaDP0iBaP/" TargetMode="External"/><Relationship Id="rId58" Type="http://schemas.openxmlformats.org/officeDocument/2006/relationships/hyperlink" Target="https://www.instagram.com/jadeseeliger_dietitian/reel/DWDseQxjSaK/" TargetMode="External"/><Relationship Id="rId66" Type="http://schemas.openxmlformats.org/officeDocument/2006/relationships/hyperlink" Target="https://www.instagram.com/jadeseeliger_dietitian/reel/DVdMVbTDVqR/" TargetMode="External"/><Relationship Id="rId5" Type="http://schemas.openxmlformats.org/officeDocument/2006/relationships/hyperlink" Target="https://www.instagram.com/jadeseeliger_dietitian/reel/DdndJTwOoVo/" TargetMode="External"/><Relationship Id="rId61" Type="http://schemas.openxmlformats.org/officeDocument/2006/relationships/hyperlink" Target="https://www.instagram.com/jadeseeliger_dietitian/reel/DVsQEZGCG7X/" TargetMode="External"/><Relationship Id="rId19" Type="http://schemas.openxmlformats.org/officeDocument/2006/relationships/hyperlink" Target="https://www.instagram.com/jadeseeliger_dietitian/reel/DbZzODsuPHE/" TargetMode="External"/><Relationship Id="rId14" Type="http://schemas.openxmlformats.org/officeDocument/2006/relationships/hyperlink" Target="https://www.instagram.com/jadeseeliger_dietitian/reel/DcY3iuuBcHm/" TargetMode="External"/><Relationship Id="rId22" Type="http://schemas.openxmlformats.org/officeDocument/2006/relationships/hyperlink" Target="https://www.instagram.com/jadeseeliger_dietitian/reel/Das0_STuLkz/" TargetMode="External"/><Relationship Id="rId27" Type="http://schemas.openxmlformats.org/officeDocument/2006/relationships/hyperlink" Target="https://www.instagram.com/jadeseeliger_dietitian/reel/DaPPVqboff0/" TargetMode="External"/><Relationship Id="rId30" Type="http://schemas.openxmlformats.org/officeDocument/2006/relationships/hyperlink" Target="https://www.instagram.com/jadeseeliger_dietitian/reel/DZpHXNpOuYe/" TargetMode="External"/><Relationship Id="rId35" Type="http://schemas.openxmlformats.org/officeDocument/2006/relationships/hyperlink" Target="https://www.instagram.com/jadeseeliger_dietitian/reel/DYtXpbBOoEC/" TargetMode="External"/><Relationship Id="rId43" Type="http://schemas.openxmlformats.org/officeDocument/2006/relationships/hyperlink" Target="https://www.instagram.com/jadeseeliger_dietitian/reel/DX8kE48No57/" TargetMode="External"/><Relationship Id="rId48" Type="http://schemas.openxmlformats.org/officeDocument/2006/relationships/hyperlink" Target="https://www.instagram.com/jadeseeliger_dietitian/reel/DW20KYvun-g/" TargetMode="External"/><Relationship Id="rId56" Type="http://schemas.openxmlformats.org/officeDocument/2006/relationships/hyperlink" Target="https://www.instagram.com/jadeseeliger_dietitian/reel/DWVcuCauJAG/" TargetMode="External"/><Relationship Id="rId64" Type="http://schemas.openxmlformats.org/officeDocument/2006/relationships/hyperlink" Target="https://www.instagram.com/jadeseeliger_dietitian/reel/DVsQEZGCG7X/" TargetMode="External"/><Relationship Id="rId8" Type="http://schemas.openxmlformats.org/officeDocument/2006/relationships/hyperlink" Target="https://www.instagram.com/jadeseeliger_dietitian/reel/DdO8M8FuXEr/" TargetMode="External"/><Relationship Id="rId51" Type="http://schemas.openxmlformats.org/officeDocument/2006/relationships/hyperlink" Target="https://www.instagram.com/jadeseeliger_dietitian/reel/DWk5aawCEpt/" TargetMode="External"/><Relationship Id="rId3" Type="http://schemas.openxmlformats.org/officeDocument/2006/relationships/hyperlink" Target="https://www.instagram.com/jadeseeliger_dietitian/reel/Dd8O2VGO5wJ/" TargetMode="External"/><Relationship Id="rId12" Type="http://schemas.openxmlformats.org/officeDocument/2006/relationships/hyperlink" Target="https://www.instagram.com/jadeseeliger_dietitian/reel/Dcq5Ap0h3tG/" TargetMode="External"/><Relationship Id="rId17" Type="http://schemas.openxmlformats.org/officeDocument/2006/relationships/hyperlink" Target="https://www.instagram.com/jadeseeliger_dietitian/reel/DbzsQVWOSGG/" TargetMode="External"/><Relationship Id="rId25" Type="http://schemas.openxmlformats.org/officeDocument/2006/relationships/hyperlink" Target="https://www.instagram.com/jadeseeliger_dietitian/reel/DaUXbnuudIg/" TargetMode="External"/><Relationship Id="rId33" Type="http://schemas.openxmlformats.org/officeDocument/2006/relationships/hyperlink" Target="https://www.instagram.com/jadeseeliger_dietitian/reel/DY_ZN6ouE1U/" TargetMode="External"/><Relationship Id="rId38" Type="http://schemas.openxmlformats.org/officeDocument/2006/relationships/hyperlink" Target="https://www.instagram.com/jadeseeliger_dietitian/reel/DYgoWpzNlk8/" TargetMode="External"/><Relationship Id="rId46" Type="http://schemas.openxmlformats.org/officeDocument/2006/relationships/hyperlink" Target="https://www.instagram.com/jadeseeliger_dietitian/reel/DXOUk5FjW8t/" TargetMode="External"/><Relationship Id="rId59" Type="http://schemas.openxmlformats.org/officeDocument/2006/relationships/hyperlink" Target="https://www.instagram.com/jadeseeliger_dietitian/reel/DV-ugSADeko/" TargetMode="External"/><Relationship Id="rId67" Type="http://schemas.openxmlformats.org/officeDocument/2006/relationships/hyperlink" Target="https://www.instagram.com/jadeseeliger_dietitian/reel/DU7hE3UiBVI/" TargetMode="External"/><Relationship Id="rId20" Type="http://schemas.openxmlformats.org/officeDocument/2006/relationships/hyperlink" Target="https://www.instagram.com/jadeseeliger_dietitian/reel/DbPrvYPovhA/" TargetMode="External"/><Relationship Id="rId41" Type="http://schemas.openxmlformats.org/officeDocument/2006/relationships/hyperlink" Target="https://www.instagram.com/jadeseeliger_dietitian/reel/DYB1PYBA3PO/" TargetMode="External"/><Relationship Id="rId54" Type="http://schemas.openxmlformats.org/officeDocument/2006/relationships/hyperlink" Target="https://www.instagram.com/jadeseeliger_dietitian/reel/DWiaDP0iBaP/" TargetMode="External"/><Relationship Id="rId62" Type="http://schemas.openxmlformats.org/officeDocument/2006/relationships/hyperlink" Target="https://www.instagram.com/jadeseeliger_dietitian/reel/DVsQEZGCG7X/" TargetMode="External"/><Relationship Id="rId1" Type="http://schemas.openxmlformats.org/officeDocument/2006/relationships/hyperlink" Target="https://www.instagram.com/jadeseeliger_dietitian/reel/C4Pw3ETK0PZ/" TargetMode="External"/><Relationship Id="rId6" Type="http://schemas.openxmlformats.org/officeDocument/2006/relationships/hyperlink" Target="https://www.instagram.com/jadeseeliger_dietitian/reel/DdVYOW3OQ-B/" TargetMode="External"/><Relationship Id="rId15" Type="http://schemas.openxmlformats.org/officeDocument/2006/relationships/hyperlink" Target="https://www.instagram.com/jadeseeliger_dietitian/reel/DcG166Oha4t/" TargetMode="External"/><Relationship Id="rId23" Type="http://schemas.openxmlformats.org/officeDocument/2006/relationships/hyperlink" Target="https://www.instagram.com/jadeseeliger_dietitian/reel/DakMzNMO917/" TargetMode="External"/><Relationship Id="rId28" Type="http://schemas.openxmlformats.org/officeDocument/2006/relationships/hyperlink" Target="https://www.instagram.com/jadeseeliger_dietitian/reel/DaIkGT8OKmp/" TargetMode="External"/><Relationship Id="rId36" Type="http://schemas.openxmlformats.org/officeDocument/2006/relationships/hyperlink" Target="https://www.instagram.com/jadeseeliger_dietitian/reel/DYtXm0OBIgB/" TargetMode="External"/><Relationship Id="rId49" Type="http://schemas.openxmlformats.org/officeDocument/2006/relationships/hyperlink" Target="https://www.instagram.com/jadeseeliger_dietitian/reel/DW0WURuunVB/" TargetMode="External"/><Relationship Id="rId57" Type="http://schemas.openxmlformats.org/officeDocument/2006/relationships/hyperlink" Target="https://www.instagram.com/jadeseeliger_dietitian/reel/DWQTKXCO4Zo/" TargetMode="External"/><Relationship Id="rId10" Type="http://schemas.openxmlformats.org/officeDocument/2006/relationships/hyperlink" Target="https://www.instagram.com/jadeseeliger_dietitian/reel/DdCENQ7u7V6/" TargetMode="External"/><Relationship Id="rId31" Type="http://schemas.openxmlformats.org/officeDocument/2006/relationships/hyperlink" Target="https://www.instagram.com/jadeseeliger_dietitian/reel/DZEi1dDuDX6/" TargetMode="External"/><Relationship Id="rId44" Type="http://schemas.openxmlformats.org/officeDocument/2006/relationships/hyperlink" Target="https://www.instagram.com/jadeseeliger_dietitian/reel/DXqa8bVOgo3/" TargetMode="External"/><Relationship Id="rId52" Type="http://schemas.openxmlformats.org/officeDocument/2006/relationships/hyperlink" Target="https://www.instagram.com/jadeseeliger_dietitian/reel/DWiaDP0iBaP/" TargetMode="External"/><Relationship Id="rId60" Type="http://schemas.openxmlformats.org/officeDocument/2006/relationships/hyperlink" Target="https://www.instagram.com/jadeseeliger_dietitian/reel/DV-ugSADeko/" TargetMode="External"/><Relationship Id="rId65" Type="http://schemas.openxmlformats.org/officeDocument/2006/relationships/hyperlink" Target="https://www.instagram.com/jadeseeliger_dietitian/reel/DVfpC7FiEPn/" TargetMode="External"/><Relationship Id="rId4" Type="http://schemas.openxmlformats.org/officeDocument/2006/relationships/hyperlink" Target="https://www.instagram.com/jadeseeliger_dietitian/reel/Ddy_YDmuIFf/" TargetMode="External"/><Relationship Id="rId9" Type="http://schemas.openxmlformats.org/officeDocument/2006/relationships/hyperlink" Target="https://www.instagram.com/jadeseeliger_dietitian/reel/DdHG5X4uiMl/" TargetMode="External"/><Relationship Id="rId13" Type="http://schemas.openxmlformats.org/officeDocument/2006/relationships/hyperlink" Target="https://www.instagram.com/jadeseeliger_dietitian/reel/Dcd6OEguGZz/" TargetMode="External"/><Relationship Id="rId18" Type="http://schemas.openxmlformats.org/officeDocument/2006/relationships/hyperlink" Target="https://www.instagram.com/jadeseeliger_dietitian/reel/Dbmw4hGOUVZ/" TargetMode="External"/><Relationship Id="rId39" Type="http://schemas.openxmlformats.org/officeDocument/2006/relationships/hyperlink" Target="https://www.instagram.com/jadeseeliger_dietitian/reel/DYQ7v4toyPX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olworths.co.za/prod/_/A-6009171079970" TargetMode="External"/><Relationship Id="rId21" Type="http://schemas.openxmlformats.org/officeDocument/2006/relationships/hyperlink" Target="https://www.woolworths.co.za/prod/_/A-6001009013446" TargetMode="External"/><Relationship Id="rId42" Type="http://schemas.openxmlformats.org/officeDocument/2006/relationships/hyperlink" Target="https://www.woolworths.co.za/prod/_/A-6009245611662" TargetMode="External"/><Relationship Id="rId63" Type="http://schemas.openxmlformats.org/officeDocument/2006/relationships/hyperlink" Target="https://www.woolworths.co.za/prod/_/A-6005000069938" TargetMode="External"/><Relationship Id="rId84" Type="http://schemas.openxmlformats.org/officeDocument/2006/relationships/hyperlink" Target="https://www.woolworths.co.za/prod/_/A-6009178807309" TargetMode="External"/><Relationship Id="rId138" Type="http://schemas.openxmlformats.org/officeDocument/2006/relationships/hyperlink" Target="https://www.woolworths.co.za/prod/_/A-6009189786075" TargetMode="External"/><Relationship Id="rId159" Type="http://schemas.openxmlformats.org/officeDocument/2006/relationships/hyperlink" Target="https://www.woolworths.co.za/prod/_/A-6001009027962" TargetMode="External"/><Relationship Id="rId170" Type="http://schemas.openxmlformats.org/officeDocument/2006/relationships/hyperlink" Target="https://www.woolworths.co.za/prod/_/A-6009189862717" TargetMode="External"/><Relationship Id="rId191" Type="http://schemas.openxmlformats.org/officeDocument/2006/relationships/hyperlink" Target="https://www.woolworths.co.za/prod/_/A-6009233372148" TargetMode="External"/><Relationship Id="rId205" Type="http://schemas.openxmlformats.org/officeDocument/2006/relationships/hyperlink" Target="https://www.woolworths.co.za/prod/_/A-6009189404955" TargetMode="External"/><Relationship Id="rId107" Type="http://schemas.openxmlformats.org/officeDocument/2006/relationships/hyperlink" Target="https://www.woolworths.co.za/prod/_/A-6001306105509" TargetMode="External"/><Relationship Id="rId11" Type="http://schemas.openxmlformats.org/officeDocument/2006/relationships/hyperlink" Target="https://www.woolworths.co.za/prod/_/A-20090876" TargetMode="External"/><Relationship Id="rId32" Type="http://schemas.openxmlformats.org/officeDocument/2006/relationships/hyperlink" Target="https://www.woolworths.co.za/prod/_/A-6001065600031" TargetMode="External"/><Relationship Id="rId53" Type="http://schemas.openxmlformats.org/officeDocument/2006/relationships/hyperlink" Target="https://www.woolworths.co.za/prod/_/A-6009223733737" TargetMode="External"/><Relationship Id="rId74" Type="http://schemas.openxmlformats.org/officeDocument/2006/relationships/hyperlink" Target="https://www.woolworths.co.za/prod/_/A-20115982" TargetMode="External"/><Relationship Id="rId128" Type="http://schemas.openxmlformats.org/officeDocument/2006/relationships/hyperlink" Target="https://www.woolworths.co.za/prod/_/A-6001092500052" TargetMode="External"/><Relationship Id="rId149" Type="http://schemas.openxmlformats.org/officeDocument/2006/relationships/hyperlink" Target="https://www.woolworths.co.za/prod/_/A-20130091" TargetMode="External"/><Relationship Id="rId5" Type="http://schemas.openxmlformats.org/officeDocument/2006/relationships/hyperlink" Target="https://www.woolworths.co.za/prod/_/A-6009182678711" TargetMode="External"/><Relationship Id="rId95" Type="http://schemas.openxmlformats.org/officeDocument/2006/relationships/hyperlink" Target="https://www.woolworths.co.za/prod/_/A-20100209" TargetMode="External"/><Relationship Id="rId160" Type="http://schemas.openxmlformats.org/officeDocument/2006/relationships/hyperlink" Target="https://www.woolworths.co.za/prod/_/A-20138141" TargetMode="External"/><Relationship Id="rId181" Type="http://schemas.openxmlformats.org/officeDocument/2006/relationships/hyperlink" Target="https://www.woolworths.co.za/prod/_/A-20004231" TargetMode="External"/><Relationship Id="rId22" Type="http://schemas.openxmlformats.org/officeDocument/2006/relationships/hyperlink" Target="https://www.woolworths.co.za/prod/_/A-6009245423722" TargetMode="External"/><Relationship Id="rId43" Type="http://schemas.openxmlformats.org/officeDocument/2006/relationships/hyperlink" Target="https://www.woolworths.co.za/prod/_/A-20163099" TargetMode="External"/><Relationship Id="rId64" Type="http://schemas.openxmlformats.org/officeDocument/2006/relationships/hyperlink" Target="https://www.woolworths.co.za/prod/_/A-6009226497148" TargetMode="External"/><Relationship Id="rId118" Type="http://schemas.openxmlformats.org/officeDocument/2006/relationships/hyperlink" Target="https://www.woolworths.co.za/prod/_/A-5410126486438" TargetMode="External"/><Relationship Id="rId139" Type="http://schemas.openxmlformats.org/officeDocument/2006/relationships/hyperlink" Target="https://www.woolworths.co.za/prod/_/A-6007875598735" TargetMode="External"/><Relationship Id="rId85" Type="http://schemas.openxmlformats.org/officeDocument/2006/relationships/hyperlink" Target="https://www.woolworths.co.za/prod/_/A-6009000072486" TargetMode="External"/><Relationship Id="rId150" Type="http://schemas.openxmlformats.org/officeDocument/2006/relationships/hyperlink" Target="https://www.woolworths.co.za/prod/_/A-20187170" TargetMode="External"/><Relationship Id="rId171" Type="http://schemas.openxmlformats.org/officeDocument/2006/relationships/hyperlink" Target="https://www.woolworths.co.za/prod/_/A-20082512" TargetMode="External"/><Relationship Id="rId192" Type="http://schemas.openxmlformats.org/officeDocument/2006/relationships/hyperlink" Target="https://www.woolworths.co.za/prod/_/A-6009195030711" TargetMode="External"/><Relationship Id="rId206" Type="http://schemas.openxmlformats.org/officeDocument/2006/relationships/hyperlink" Target="https://www.woolworths.co.za/prod/_/A-6009681270386" TargetMode="External"/><Relationship Id="rId12" Type="http://schemas.openxmlformats.org/officeDocument/2006/relationships/hyperlink" Target="https://www.woolworths.co.za/prod/_/A-20008543" TargetMode="External"/><Relationship Id="rId33" Type="http://schemas.openxmlformats.org/officeDocument/2006/relationships/hyperlink" Target="https://www.woolworths.co.za/prod/_/A-6009217294336" TargetMode="External"/><Relationship Id="rId108" Type="http://schemas.openxmlformats.org/officeDocument/2006/relationships/hyperlink" Target="https://www.woolworths.co.za/prod/_/A-6001306015501" TargetMode="External"/><Relationship Id="rId129" Type="http://schemas.openxmlformats.org/officeDocument/2006/relationships/hyperlink" Target="https://www.woolworths.co.za/prod/_/A-6009178470015" TargetMode="External"/><Relationship Id="rId54" Type="http://schemas.openxmlformats.org/officeDocument/2006/relationships/hyperlink" Target="https://www.woolworths.co.za/prod/_/A-6009184605463" TargetMode="External"/><Relationship Id="rId75" Type="http://schemas.openxmlformats.org/officeDocument/2006/relationships/hyperlink" Target="https://www.woolworths.co.za/prod/_/A-20004255" TargetMode="External"/><Relationship Id="rId96" Type="http://schemas.openxmlformats.org/officeDocument/2006/relationships/hyperlink" Target="https://www.woolworths.co.za/prod/_/A-20090104" TargetMode="External"/><Relationship Id="rId140" Type="http://schemas.openxmlformats.org/officeDocument/2006/relationships/hyperlink" Target="https://www.woolworths.co.za/prod/_/A-6009217888818" TargetMode="External"/><Relationship Id="rId161" Type="http://schemas.openxmlformats.org/officeDocument/2006/relationships/hyperlink" Target="https://www.woolworths.co.za/prod/_/A-20127824" TargetMode="External"/><Relationship Id="rId182" Type="http://schemas.openxmlformats.org/officeDocument/2006/relationships/hyperlink" Target="https://www.woolworths.co.za/prod/_/A-6001009013422" TargetMode="External"/><Relationship Id="rId6" Type="http://schemas.openxmlformats.org/officeDocument/2006/relationships/hyperlink" Target="https://www.woolworths.co.za/prod/_/A-20175566" TargetMode="External"/><Relationship Id="rId23" Type="http://schemas.openxmlformats.org/officeDocument/2006/relationships/hyperlink" Target="https://www.woolworths.co.za/prod/_/A-6009223344711" TargetMode="External"/><Relationship Id="rId119" Type="http://schemas.openxmlformats.org/officeDocument/2006/relationships/hyperlink" Target="https://www.woolworths.co.za/prod/_/A-6007875219357" TargetMode="External"/><Relationship Id="rId44" Type="http://schemas.openxmlformats.org/officeDocument/2006/relationships/hyperlink" Target="https://www.woolworths.co.za/prod/_/A-20181673" TargetMode="External"/><Relationship Id="rId65" Type="http://schemas.openxmlformats.org/officeDocument/2006/relationships/hyperlink" Target="https://www.woolworths.co.za/prod/_/A-2585220000002" TargetMode="External"/><Relationship Id="rId86" Type="http://schemas.openxmlformats.org/officeDocument/2006/relationships/hyperlink" Target="https://www.woolworths.co.za/prod/_/A-6009189300264" TargetMode="External"/><Relationship Id="rId130" Type="http://schemas.openxmlformats.org/officeDocument/2006/relationships/hyperlink" Target="https://www.woolworths.co.za/prod/_/A-6001068312504" TargetMode="External"/><Relationship Id="rId151" Type="http://schemas.openxmlformats.org/officeDocument/2006/relationships/hyperlink" Target="https://www.woolworths.co.za/prod/_/A-6009173374066" TargetMode="External"/><Relationship Id="rId172" Type="http://schemas.openxmlformats.org/officeDocument/2006/relationships/hyperlink" Target="https://www.woolworths.co.za/prod/_/A-6009214779584" TargetMode="External"/><Relationship Id="rId193" Type="http://schemas.openxmlformats.org/officeDocument/2006/relationships/hyperlink" Target="https://www.woolworths.co.za/prod/_/A-6009173755391" TargetMode="External"/><Relationship Id="rId207" Type="http://schemas.openxmlformats.org/officeDocument/2006/relationships/hyperlink" Target="https://www.woolworths.co.za/prod/_/A-6009681270454" TargetMode="External"/><Relationship Id="rId13" Type="http://schemas.openxmlformats.org/officeDocument/2006/relationships/hyperlink" Target="https://www.woolworths.co.za/prod/_/A-6001056414296" TargetMode="External"/><Relationship Id="rId109" Type="http://schemas.openxmlformats.org/officeDocument/2006/relationships/hyperlink" Target="https://www.woolworths.co.za/prod/_/A-8715035130104" TargetMode="External"/><Relationship Id="rId34" Type="http://schemas.openxmlformats.org/officeDocument/2006/relationships/hyperlink" Target="https://www.woolworths.co.za/prod/_/A-6001009029096" TargetMode="External"/><Relationship Id="rId55" Type="http://schemas.openxmlformats.org/officeDocument/2006/relationships/hyperlink" Target="https://www.woolworths.co.za/prod/_/A-6009182952736" TargetMode="External"/><Relationship Id="rId76" Type="http://schemas.openxmlformats.org/officeDocument/2006/relationships/hyperlink" Target="https://www.woolworths.co.za/prod/_/A-20008277" TargetMode="External"/><Relationship Id="rId97" Type="http://schemas.openxmlformats.org/officeDocument/2006/relationships/hyperlink" Target="https://www.woolworths.co.za/prod/_/A-6009175048316" TargetMode="External"/><Relationship Id="rId120" Type="http://schemas.openxmlformats.org/officeDocument/2006/relationships/hyperlink" Target="https://www.woolworths.co.za/prod/_/A-6001038101206" TargetMode="External"/><Relationship Id="rId141" Type="http://schemas.openxmlformats.org/officeDocument/2006/relationships/hyperlink" Target="https://www.woolworths.co.za/prod/_/A-6009204178830" TargetMode="External"/><Relationship Id="rId7" Type="http://schemas.openxmlformats.org/officeDocument/2006/relationships/hyperlink" Target="https://www.woolworths.co.za/prod/_/A-6009226417207" TargetMode="External"/><Relationship Id="rId162" Type="http://schemas.openxmlformats.org/officeDocument/2006/relationships/hyperlink" Target="https://www.woolworths.co.za/prod/_/A-6005000946963" TargetMode="External"/><Relationship Id="rId183" Type="http://schemas.openxmlformats.org/officeDocument/2006/relationships/hyperlink" Target="https://www.woolworths.co.za/prod/_/A-6005000708585" TargetMode="External"/><Relationship Id="rId24" Type="http://schemas.openxmlformats.org/officeDocument/2006/relationships/hyperlink" Target="https://www.woolworths.co.za/prod/_/A-20008215" TargetMode="External"/><Relationship Id="rId40" Type="http://schemas.openxmlformats.org/officeDocument/2006/relationships/hyperlink" Target="https://www.woolworths.co.za/prod/_/A-2084900000009" TargetMode="External"/><Relationship Id="rId45" Type="http://schemas.openxmlformats.org/officeDocument/2006/relationships/hyperlink" Target="https://www.woolworths.co.za/prod/_/A-6007875735390" TargetMode="External"/><Relationship Id="rId66" Type="http://schemas.openxmlformats.org/officeDocument/2006/relationships/hyperlink" Target="https://www.woolworths.co.za/prod/_/A-20099251" TargetMode="External"/><Relationship Id="rId87" Type="http://schemas.openxmlformats.org/officeDocument/2006/relationships/hyperlink" Target="https://www.woolworths.co.za/prod/_/A-6009226185014" TargetMode="External"/><Relationship Id="rId110" Type="http://schemas.openxmlformats.org/officeDocument/2006/relationships/hyperlink" Target="https://www.woolworths.co.za/prod/_/A-6001024386655" TargetMode="External"/><Relationship Id="rId115" Type="http://schemas.openxmlformats.org/officeDocument/2006/relationships/hyperlink" Target="https://www.woolworths.co.za/prod/_/A-6009195372286" TargetMode="External"/><Relationship Id="rId131" Type="http://schemas.openxmlformats.org/officeDocument/2006/relationships/hyperlink" Target="https://www.woolworths.co.za/prod/_/A-6001068691500" TargetMode="External"/><Relationship Id="rId136" Type="http://schemas.openxmlformats.org/officeDocument/2006/relationships/hyperlink" Target="https://www.woolworths.co.za/prod/_/A-6001009037398" TargetMode="External"/><Relationship Id="rId157" Type="http://schemas.openxmlformats.org/officeDocument/2006/relationships/hyperlink" Target="https://www.woolworths.co.za/prod/_/A-6001009027924" TargetMode="External"/><Relationship Id="rId178" Type="http://schemas.openxmlformats.org/officeDocument/2006/relationships/hyperlink" Target="https://www.woolworths.co.za/prod/_/A-20171667" TargetMode="External"/><Relationship Id="rId61" Type="http://schemas.openxmlformats.org/officeDocument/2006/relationships/hyperlink" Target="https://www.woolworths.co.za/prod/_/A-2582760000004" TargetMode="External"/><Relationship Id="rId82" Type="http://schemas.openxmlformats.org/officeDocument/2006/relationships/hyperlink" Target="https://www.woolworths.co.za/prod/_/A-6009245366357" TargetMode="External"/><Relationship Id="rId152" Type="http://schemas.openxmlformats.org/officeDocument/2006/relationships/hyperlink" Target="https://www.woolworths.co.za/prod/_/A-2004890000001" TargetMode="External"/><Relationship Id="rId173" Type="http://schemas.openxmlformats.org/officeDocument/2006/relationships/hyperlink" Target="https://www.woolworths.co.za/prod/_/A-6009233581069" TargetMode="External"/><Relationship Id="rId194" Type="http://schemas.openxmlformats.org/officeDocument/2006/relationships/hyperlink" Target="https://www.woolworths.co.za/prod/_/A-8854958001273" TargetMode="External"/><Relationship Id="rId199" Type="http://schemas.openxmlformats.org/officeDocument/2006/relationships/hyperlink" Target="https://www.woolworths.co.za/prod/_/A-6001009023957" TargetMode="External"/><Relationship Id="rId203" Type="http://schemas.openxmlformats.org/officeDocument/2006/relationships/hyperlink" Target="https://www.woolworths.co.za/prod/_/A-6009226283963" TargetMode="External"/><Relationship Id="rId19" Type="http://schemas.openxmlformats.org/officeDocument/2006/relationships/hyperlink" Target="https://www.woolworths.co.za/prod/_/A-6009173755315" TargetMode="External"/><Relationship Id="rId14" Type="http://schemas.openxmlformats.org/officeDocument/2006/relationships/hyperlink" Target="https://www.woolworths.co.za/prod/_/A-6009173755322" TargetMode="External"/><Relationship Id="rId30" Type="http://schemas.openxmlformats.org/officeDocument/2006/relationships/hyperlink" Target="https://www.woolworths.co.za/prod/_/A-2906818000004" TargetMode="External"/><Relationship Id="rId35" Type="http://schemas.openxmlformats.org/officeDocument/2006/relationships/hyperlink" Target="https://www.woolworths.co.za/prod/_/A-6009184419251" TargetMode="External"/><Relationship Id="rId56" Type="http://schemas.openxmlformats.org/officeDocument/2006/relationships/hyperlink" Target="https://www.woolworths.co.za/prod/_/A-6009204699267" TargetMode="External"/><Relationship Id="rId77" Type="http://schemas.openxmlformats.org/officeDocument/2006/relationships/hyperlink" Target="https://www.woolworths.co.za/prod/_/A-20082024" TargetMode="External"/><Relationship Id="rId100" Type="http://schemas.openxmlformats.org/officeDocument/2006/relationships/hyperlink" Target="https://www.woolworths.co.za/prod/_/A-6009204921979" TargetMode="External"/><Relationship Id="rId105" Type="http://schemas.openxmlformats.org/officeDocument/2006/relationships/hyperlink" Target="https://www.woolworths.co.za/prod/_/A-6009217900916" TargetMode="External"/><Relationship Id="rId126" Type="http://schemas.openxmlformats.org/officeDocument/2006/relationships/hyperlink" Target="https://www.woolworths.co.za/prod/_/A-6009182325127" TargetMode="External"/><Relationship Id="rId147" Type="http://schemas.openxmlformats.org/officeDocument/2006/relationships/hyperlink" Target="https://www.woolworths.co.za/prod/_/A-6009226123689" TargetMode="External"/><Relationship Id="rId168" Type="http://schemas.openxmlformats.org/officeDocument/2006/relationships/hyperlink" Target="https://www.woolworths.co.za/prod/_/A-6009204748446" TargetMode="External"/><Relationship Id="rId8" Type="http://schemas.openxmlformats.org/officeDocument/2006/relationships/hyperlink" Target="https://www.woolworths.co.za/prod/_/A-6009189785283" TargetMode="External"/><Relationship Id="rId51" Type="http://schemas.openxmlformats.org/officeDocument/2006/relationships/hyperlink" Target="https://www.woolworths.co.za/prod/_/A-6009184539386" TargetMode="External"/><Relationship Id="rId72" Type="http://schemas.openxmlformats.org/officeDocument/2006/relationships/hyperlink" Target="https://www.woolworths.co.za/prod/_/A-6009195814557" TargetMode="External"/><Relationship Id="rId93" Type="http://schemas.openxmlformats.org/officeDocument/2006/relationships/hyperlink" Target="https://www.woolworths.co.za/prod/_/A-20016371" TargetMode="External"/><Relationship Id="rId98" Type="http://schemas.openxmlformats.org/officeDocument/2006/relationships/hyperlink" Target="https://www.woolworths.co.za/prod/_/A-6009173963215" TargetMode="External"/><Relationship Id="rId121" Type="http://schemas.openxmlformats.org/officeDocument/2006/relationships/hyperlink" Target="https://www.woolworths.co.za/prod/_/A-20127442" TargetMode="External"/><Relationship Id="rId142" Type="http://schemas.openxmlformats.org/officeDocument/2006/relationships/hyperlink" Target="https://www.woolworths.co.za/prod/_/A-6009189953712" TargetMode="External"/><Relationship Id="rId163" Type="http://schemas.openxmlformats.org/officeDocument/2006/relationships/hyperlink" Target="https://www.woolworths.co.za/prod/_/A-20149994" TargetMode="External"/><Relationship Id="rId184" Type="http://schemas.openxmlformats.org/officeDocument/2006/relationships/hyperlink" Target="https://www.woolworths.co.za/prod/_/A-6009233390609" TargetMode="External"/><Relationship Id="rId189" Type="http://schemas.openxmlformats.org/officeDocument/2006/relationships/hyperlink" Target="https://www.woolworths.co.za/prod/_/A-6005000896008" TargetMode="External"/><Relationship Id="rId3" Type="http://schemas.openxmlformats.org/officeDocument/2006/relationships/hyperlink" Target="https://www.woolworths.co.za/prod/_/A-20008758" TargetMode="External"/><Relationship Id="rId25" Type="http://schemas.openxmlformats.org/officeDocument/2006/relationships/hyperlink" Target="https://www.woolworths.co.za/prod/_/A-20008604" TargetMode="External"/><Relationship Id="rId46" Type="http://schemas.openxmlformats.org/officeDocument/2006/relationships/hyperlink" Target="https://www.woolworths.co.za/prod/_/A-6009175048637" TargetMode="External"/><Relationship Id="rId67" Type="http://schemas.openxmlformats.org/officeDocument/2006/relationships/hyperlink" Target="https://www.woolworths.co.za/prod/_/A-6009217001262" TargetMode="External"/><Relationship Id="rId116" Type="http://schemas.openxmlformats.org/officeDocument/2006/relationships/hyperlink" Target="https://www.woolworths.co.za/prod/_/A-6009171079987" TargetMode="External"/><Relationship Id="rId137" Type="http://schemas.openxmlformats.org/officeDocument/2006/relationships/hyperlink" Target="https://www.woolworths.co.za/prod/_/A-20136789" TargetMode="External"/><Relationship Id="rId158" Type="http://schemas.openxmlformats.org/officeDocument/2006/relationships/hyperlink" Target="https://www.woolworths.co.za/prod/_/A-20159320" TargetMode="External"/><Relationship Id="rId20" Type="http://schemas.openxmlformats.org/officeDocument/2006/relationships/hyperlink" Target="https://www.woolworths.co.za/prod/_/A-60050151" TargetMode="External"/><Relationship Id="rId41" Type="http://schemas.openxmlformats.org/officeDocument/2006/relationships/hyperlink" Target="https://www.woolworths.co.za/prod/_/A-2584810000002" TargetMode="External"/><Relationship Id="rId62" Type="http://schemas.openxmlformats.org/officeDocument/2006/relationships/hyperlink" Target="https://www.woolworths.co.za/prod/_/A-2585300000007" TargetMode="External"/><Relationship Id="rId83" Type="http://schemas.openxmlformats.org/officeDocument/2006/relationships/hyperlink" Target="https://www.woolworths.co.za/prod/_/A-20038717" TargetMode="External"/><Relationship Id="rId88" Type="http://schemas.openxmlformats.org/officeDocument/2006/relationships/hyperlink" Target="https://www.woolworths.co.za/prod/_/A-6009214555348" TargetMode="External"/><Relationship Id="rId111" Type="http://schemas.openxmlformats.org/officeDocument/2006/relationships/hyperlink" Target="https://www.woolworths.co.za/prod/_/A-20110994" TargetMode="External"/><Relationship Id="rId132" Type="http://schemas.openxmlformats.org/officeDocument/2006/relationships/hyperlink" Target="https://www.woolworths.co.za/prod/_/A-6001009012685" TargetMode="External"/><Relationship Id="rId153" Type="http://schemas.openxmlformats.org/officeDocument/2006/relationships/hyperlink" Target="https://www.woolworths.co.za/prod/_/A-6009217484898" TargetMode="External"/><Relationship Id="rId174" Type="http://schemas.openxmlformats.org/officeDocument/2006/relationships/hyperlink" Target="https://www.woolworths.co.za/prod/_/A-20191719" TargetMode="External"/><Relationship Id="rId179" Type="http://schemas.openxmlformats.org/officeDocument/2006/relationships/hyperlink" Target="https://www.woolworths.co.za/prod/_/A-20021658" TargetMode="External"/><Relationship Id="rId195" Type="http://schemas.openxmlformats.org/officeDocument/2006/relationships/hyperlink" Target="https://www.woolworths.co.za/prod/_/A-6009189991974" TargetMode="External"/><Relationship Id="rId190" Type="http://schemas.openxmlformats.org/officeDocument/2006/relationships/hyperlink" Target="https://www.woolworths.co.za/prod/_/A-6009173963192" TargetMode="External"/><Relationship Id="rId204" Type="http://schemas.openxmlformats.org/officeDocument/2006/relationships/hyperlink" Target="https://www.woolworths.co.za/prod/_/A-6001009017260" TargetMode="External"/><Relationship Id="rId15" Type="http://schemas.openxmlformats.org/officeDocument/2006/relationships/hyperlink" Target="https://www.woolworths.co.za/prod/_/A-6008000249812" TargetMode="External"/><Relationship Id="rId36" Type="http://schemas.openxmlformats.org/officeDocument/2006/relationships/hyperlink" Target="https://www.woolworths.co.za/prod/_/A-20004194" TargetMode="External"/><Relationship Id="rId57" Type="http://schemas.openxmlformats.org/officeDocument/2006/relationships/hyperlink" Target="https://www.woolworths.co.za/prod/_/A-6009189149276" TargetMode="External"/><Relationship Id="rId106" Type="http://schemas.openxmlformats.org/officeDocument/2006/relationships/hyperlink" Target="https://www.woolworths.co.za/prod/_/A-6001275000003" TargetMode="External"/><Relationship Id="rId127" Type="http://schemas.openxmlformats.org/officeDocument/2006/relationships/hyperlink" Target="https://www.woolworths.co.za/prod/_/A-6009171580025" TargetMode="External"/><Relationship Id="rId10" Type="http://schemas.openxmlformats.org/officeDocument/2006/relationships/hyperlink" Target="https://www.woolworths.co.za/prod/_/A-6009211593435" TargetMode="External"/><Relationship Id="rId31" Type="http://schemas.openxmlformats.org/officeDocument/2006/relationships/hyperlink" Target="https://www.woolworths.co.za/prod/_/A-6001065600048" TargetMode="External"/><Relationship Id="rId52" Type="http://schemas.openxmlformats.org/officeDocument/2006/relationships/hyperlink" Target="https://www.woolworths.co.za/prod/_/A-6009178802113" TargetMode="External"/><Relationship Id="rId73" Type="http://schemas.openxmlformats.org/officeDocument/2006/relationships/hyperlink" Target="https://www.woolworths.co.za/prod/_/A-6009195814564" TargetMode="External"/><Relationship Id="rId78" Type="http://schemas.openxmlformats.org/officeDocument/2006/relationships/hyperlink" Target="https://www.woolworths.co.za/prod/_/A-6005000551501" TargetMode="External"/><Relationship Id="rId94" Type="http://schemas.openxmlformats.org/officeDocument/2006/relationships/hyperlink" Target="https://www.woolworths.co.za/prod/_/A-20016432" TargetMode="External"/><Relationship Id="rId99" Type="http://schemas.openxmlformats.org/officeDocument/2006/relationships/hyperlink" Target="https://www.woolworths.co.za/prod/_/A-6001009032447" TargetMode="External"/><Relationship Id="rId101" Type="http://schemas.openxmlformats.org/officeDocument/2006/relationships/hyperlink" Target="https://www.woolworths.co.za/prod/_/A-6009000999349" TargetMode="External"/><Relationship Id="rId122" Type="http://schemas.openxmlformats.org/officeDocument/2006/relationships/hyperlink" Target="https://www.woolworths.co.za/prod/_/A-20008307" TargetMode="External"/><Relationship Id="rId143" Type="http://schemas.openxmlformats.org/officeDocument/2006/relationships/hyperlink" Target="https://www.woolworths.co.za/prod/_/A-6009101984695" TargetMode="External"/><Relationship Id="rId148" Type="http://schemas.openxmlformats.org/officeDocument/2006/relationships/hyperlink" Target="https://www.woolworths.co.za/prod/_/A-6009217632107" TargetMode="External"/><Relationship Id="rId164" Type="http://schemas.openxmlformats.org/officeDocument/2006/relationships/hyperlink" Target="https://www.woolworths.co.za/prod/_/A-20115944" TargetMode="External"/><Relationship Id="rId169" Type="http://schemas.openxmlformats.org/officeDocument/2006/relationships/hyperlink" Target="https://www.woolworths.co.za/prod/_/A-6009217888757" TargetMode="External"/><Relationship Id="rId185" Type="http://schemas.openxmlformats.org/officeDocument/2006/relationships/hyperlink" Target="https://www.woolworths.co.za/prod/_/A-6009245097565" TargetMode="External"/><Relationship Id="rId4" Type="http://schemas.openxmlformats.org/officeDocument/2006/relationships/hyperlink" Target="https://www.woolworths.co.za/prod/_/A-6007875331691" TargetMode="External"/><Relationship Id="rId9" Type="http://schemas.openxmlformats.org/officeDocument/2006/relationships/hyperlink" Target="https://www.woolworths.co.za/prod/_/A-6009195203504" TargetMode="External"/><Relationship Id="rId180" Type="http://schemas.openxmlformats.org/officeDocument/2006/relationships/hyperlink" Target="https://www.woolworths.co.za/prod/_/A-6007875483338" TargetMode="External"/><Relationship Id="rId26" Type="http://schemas.openxmlformats.org/officeDocument/2006/relationships/hyperlink" Target="https://www.woolworths.co.za/prod/_/A-20163082" TargetMode="External"/><Relationship Id="rId47" Type="http://schemas.openxmlformats.org/officeDocument/2006/relationships/hyperlink" Target="https://www.woolworths.co.za/prod/_/A-20149123" TargetMode="External"/><Relationship Id="rId68" Type="http://schemas.openxmlformats.org/officeDocument/2006/relationships/hyperlink" Target="https://www.woolworths.co.za/prod/_/A-6009184330006" TargetMode="External"/><Relationship Id="rId89" Type="http://schemas.openxmlformats.org/officeDocument/2006/relationships/hyperlink" Target="https://www.woolworths.co.za/prod/_/A-6009226164576" TargetMode="External"/><Relationship Id="rId112" Type="http://schemas.openxmlformats.org/officeDocument/2006/relationships/hyperlink" Target="https://www.woolworths.co.za/prod/_/A-20017880" TargetMode="External"/><Relationship Id="rId133" Type="http://schemas.openxmlformats.org/officeDocument/2006/relationships/hyperlink" Target="https://www.woolworths.co.za/prod/_/A-6009204538160" TargetMode="External"/><Relationship Id="rId154" Type="http://schemas.openxmlformats.org/officeDocument/2006/relationships/hyperlink" Target="https://www.woolworths.co.za/prod/_/A-20176938" TargetMode="External"/><Relationship Id="rId175" Type="http://schemas.openxmlformats.org/officeDocument/2006/relationships/hyperlink" Target="https://www.woolworths.co.za/prod/_/A-6009226815270" TargetMode="External"/><Relationship Id="rId196" Type="http://schemas.openxmlformats.org/officeDocument/2006/relationships/hyperlink" Target="https://www.woolworths.co.za/prod/_/A-6009101877447" TargetMode="External"/><Relationship Id="rId200" Type="http://schemas.openxmlformats.org/officeDocument/2006/relationships/hyperlink" Target="https://www.woolworths.co.za/prod/_/A-2906825000004" TargetMode="External"/><Relationship Id="rId16" Type="http://schemas.openxmlformats.org/officeDocument/2006/relationships/hyperlink" Target="https://www.woolworths.co.za/prod/_/A-2029830000002" TargetMode="External"/><Relationship Id="rId37" Type="http://schemas.openxmlformats.org/officeDocument/2006/relationships/hyperlink" Target="https://www.woolworths.co.za/prod/_/A-20180539" TargetMode="External"/><Relationship Id="rId58" Type="http://schemas.openxmlformats.org/officeDocument/2006/relationships/hyperlink" Target="https://www.woolworths.co.za/prod/_/A-6009214607368" TargetMode="External"/><Relationship Id="rId79" Type="http://schemas.openxmlformats.org/officeDocument/2006/relationships/hyperlink" Target="https://www.woolworths.co.za/prod/_/A-20135225" TargetMode="External"/><Relationship Id="rId102" Type="http://schemas.openxmlformats.org/officeDocument/2006/relationships/hyperlink" Target="https://www.woolworths.co.za/prod/_/A-20205256" TargetMode="External"/><Relationship Id="rId123" Type="http://schemas.openxmlformats.org/officeDocument/2006/relationships/hyperlink" Target="https://www.woolworths.co.za/prod/_/A-2500470000008" TargetMode="External"/><Relationship Id="rId144" Type="http://schemas.openxmlformats.org/officeDocument/2006/relationships/hyperlink" Target="https://www.woolworths.co.za/prod/_/A-20040215" TargetMode="External"/><Relationship Id="rId90" Type="http://schemas.openxmlformats.org/officeDocument/2006/relationships/hyperlink" Target="https://www.woolworths.co.za/prod/_/A-6009182309936" TargetMode="External"/><Relationship Id="rId165" Type="http://schemas.openxmlformats.org/officeDocument/2006/relationships/hyperlink" Target="https://www.woolworths.co.za/prod/_/A-20104894" TargetMode="External"/><Relationship Id="rId186" Type="http://schemas.openxmlformats.org/officeDocument/2006/relationships/hyperlink" Target="https://www.woolworths.co.za/prod/_/A-20034702" TargetMode="External"/><Relationship Id="rId27" Type="http://schemas.openxmlformats.org/officeDocument/2006/relationships/hyperlink" Target="https://www.woolworths.co.za/prod/_/A-6009211207943" TargetMode="External"/><Relationship Id="rId48" Type="http://schemas.openxmlformats.org/officeDocument/2006/relationships/hyperlink" Target="https://www.woolworths.co.za/prod/_/A-8002170558253" TargetMode="External"/><Relationship Id="rId69" Type="http://schemas.openxmlformats.org/officeDocument/2006/relationships/hyperlink" Target="https://www.woolworths.co.za/prod/_/A-20021863" TargetMode="External"/><Relationship Id="rId113" Type="http://schemas.openxmlformats.org/officeDocument/2006/relationships/hyperlink" Target="https://www.woolworths.co.za/prod/_/A-20198855" TargetMode="External"/><Relationship Id="rId134" Type="http://schemas.openxmlformats.org/officeDocument/2006/relationships/hyperlink" Target="https://www.woolworths.co.za/prod/_/A-6009173963109" TargetMode="External"/><Relationship Id="rId80" Type="http://schemas.openxmlformats.org/officeDocument/2006/relationships/hyperlink" Target="https://www.woolworths.co.za/prod/_/A-6008000281959" TargetMode="External"/><Relationship Id="rId155" Type="http://schemas.openxmlformats.org/officeDocument/2006/relationships/hyperlink" Target="https://www.woolworths.co.za/prod/_/A-6009900086583" TargetMode="External"/><Relationship Id="rId176" Type="http://schemas.openxmlformats.org/officeDocument/2006/relationships/hyperlink" Target="https://www.woolworths.co.za/prod/_/A-20046637" TargetMode="External"/><Relationship Id="rId197" Type="http://schemas.openxmlformats.org/officeDocument/2006/relationships/hyperlink" Target="https://www.woolworths.co.za/prod/_/A-6009184246444" TargetMode="External"/><Relationship Id="rId201" Type="http://schemas.openxmlformats.org/officeDocument/2006/relationships/hyperlink" Target="https://www.woolworths.co.za/prod/_/A-2906824000005" TargetMode="External"/><Relationship Id="rId17" Type="http://schemas.openxmlformats.org/officeDocument/2006/relationships/hyperlink" Target="https://www.woolworths.co.za/prod/_/A-20081140" TargetMode="External"/><Relationship Id="rId38" Type="http://schemas.openxmlformats.org/officeDocument/2006/relationships/hyperlink" Target="https://www.woolworths.co.za/prod/_/A-6009184245638" TargetMode="External"/><Relationship Id="rId59" Type="http://schemas.openxmlformats.org/officeDocument/2006/relationships/hyperlink" Target="https://www.woolworths.co.za/prod/_/A-20150952" TargetMode="External"/><Relationship Id="rId103" Type="http://schemas.openxmlformats.org/officeDocument/2006/relationships/hyperlink" Target="https://www.woolworths.co.za/prod/_/A-6005000300604" TargetMode="External"/><Relationship Id="rId124" Type="http://schemas.openxmlformats.org/officeDocument/2006/relationships/hyperlink" Target="https://www.woolworths.co.za/prod/_/A-6009000771785" TargetMode="External"/><Relationship Id="rId70" Type="http://schemas.openxmlformats.org/officeDocument/2006/relationships/hyperlink" Target="https://www.woolworths.co.za/prod/_/A-20099268" TargetMode="External"/><Relationship Id="rId91" Type="http://schemas.openxmlformats.org/officeDocument/2006/relationships/hyperlink" Target="https://www.woolworths.co.za/prod/_/A-20064112" TargetMode="External"/><Relationship Id="rId145" Type="http://schemas.openxmlformats.org/officeDocument/2006/relationships/hyperlink" Target="https://www.woolworths.co.za/prod/_/A-6009195242305" TargetMode="External"/><Relationship Id="rId166" Type="http://schemas.openxmlformats.org/officeDocument/2006/relationships/hyperlink" Target="https://www.woolworths.co.za/prod/_/A-20177874" TargetMode="External"/><Relationship Id="rId187" Type="http://schemas.openxmlformats.org/officeDocument/2006/relationships/hyperlink" Target="https://www.woolworths.co.za/prod/_/A-20103354" TargetMode="External"/><Relationship Id="rId1" Type="http://schemas.openxmlformats.org/officeDocument/2006/relationships/hyperlink" Target="https://www.woolworths.co.za/prod/_/A-6009195030636" TargetMode="External"/><Relationship Id="rId28" Type="http://schemas.openxmlformats.org/officeDocument/2006/relationships/hyperlink" Target="https://www.woolworths.co.za/prod/_/A-6009233585432" TargetMode="External"/><Relationship Id="rId49" Type="http://schemas.openxmlformats.org/officeDocument/2006/relationships/hyperlink" Target="https://www.woolworths.co.za/prod/_/A-6001059943441" TargetMode="External"/><Relationship Id="rId114" Type="http://schemas.openxmlformats.org/officeDocument/2006/relationships/hyperlink" Target="https://www.woolworths.co.za/prod/_/A-20104061" TargetMode="External"/><Relationship Id="rId60" Type="http://schemas.openxmlformats.org/officeDocument/2006/relationships/hyperlink" Target="https://www.woolworths.co.za/prod/_/A-2033640000008" TargetMode="External"/><Relationship Id="rId81" Type="http://schemas.openxmlformats.org/officeDocument/2006/relationships/hyperlink" Target="https://www.woolworths.co.za/prod/_/A-6001009008237" TargetMode="External"/><Relationship Id="rId135" Type="http://schemas.openxmlformats.org/officeDocument/2006/relationships/hyperlink" Target="https://www.woolworths.co.za/prod/_/A-6001009037152" TargetMode="External"/><Relationship Id="rId156" Type="http://schemas.openxmlformats.org/officeDocument/2006/relationships/hyperlink" Target="https://www.woolworths.co.za/prod/_/A-6001009013415" TargetMode="External"/><Relationship Id="rId177" Type="http://schemas.openxmlformats.org/officeDocument/2006/relationships/hyperlink" Target="https://www.woolworths.co.za/prod/_/A-20101480" TargetMode="External"/><Relationship Id="rId198" Type="http://schemas.openxmlformats.org/officeDocument/2006/relationships/hyperlink" Target="https://www.woolworths.co.za/prod/_/A-6009101961788" TargetMode="External"/><Relationship Id="rId202" Type="http://schemas.openxmlformats.org/officeDocument/2006/relationships/hyperlink" Target="https://www.woolworths.co.za/prod/_/A-6009223734093" TargetMode="External"/><Relationship Id="rId18" Type="http://schemas.openxmlformats.org/officeDocument/2006/relationships/hyperlink" Target="https://www.woolworths.co.za/prod/_/A-6009178223987" TargetMode="External"/><Relationship Id="rId39" Type="http://schemas.openxmlformats.org/officeDocument/2006/relationships/hyperlink" Target="https://www.woolworths.co.za/prod/_/A-6009182627580" TargetMode="External"/><Relationship Id="rId50" Type="http://schemas.openxmlformats.org/officeDocument/2006/relationships/hyperlink" Target="https://www.woolworths.co.za/prod/_/A-6009522301262" TargetMode="External"/><Relationship Id="rId104" Type="http://schemas.openxmlformats.org/officeDocument/2006/relationships/hyperlink" Target="https://www.woolworths.co.za/prod/_/A-6009173963208" TargetMode="External"/><Relationship Id="rId125" Type="http://schemas.openxmlformats.org/officeDocument/2006/relationships/hyperlink" Target="https://www.woolworths.co.za/prod/_/A-20158392" TargetMode="External"/><Relationship Id="rId146" Type="http://schemas.openxmlformats.org/officeDocument/2006/relationships/hyperlink" Target="https://www.woolworths.co.za/prod/_/A-6009173574466" TargetMode="External"/><Relationship Id="rId167" Type="http://schemas.openxmlformats.org/officeDocument/2006/relationships/hyperlink" Target="https://www.woolworths.co.za/prod/_/A-20011833" TargetMode="External"/><Relationship Id="rId188" Type="http://schemas.openxmlformats.org/officeDocument/2006/relationships/hyperlink" Target="https://www.woolworths.co.za/prod/_/A-20002718" TargetMode="External"/><Relationship Id="rId71" Type="http://schemas.openxmlformats.org/officeDocument/2006/relationships/hyperlink" Target="https://www.woolworths.co.za/prod/_/A-6009101284269" TargetMode="External"/><Relationship Id="rId92" Type="http://schemas.openxmlformats.org/officeDocument/2006/relationships/hyperlink" Target="https://www.woolworths.co.za/prod/_/A-6009223734116" TargetMode="External"/><Relationship Id="rId2" Type="http://schemas.openxmlformats.org/officeDocument/2006/relationships/hyperlink" Target="https://www.woolworths.co.za/prod/_/A-6009522308407" TargetMode="External"/><Relationship Id="rId29" Type="http://schemas.openxmlformats.org/officeDocument/2006/relationships/hyperlink" Target="https://www.woolworths.co.za/prod/_/A-6009101217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Normal="100" workbookViewId="0">
      <pane ySplit="1" topLeftCell="A2" activePane="bottomLeft" state="frozen"/>
      <selection pane="bottomLeft" activeCell="D2" sqref="D2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8" customWidth="1"/>
    <col min="4" max="4" width="14" customWidth="1"/>
    <col min="5" max="5" width="16" customWidth="1"/>
    <col min="6" max="6" width="10" customWidth="1"/>
    <col min="7" max="7" width="14" customWidth="1"/>
    <col min="8" max="8" width="12" customWidth="1"/>
    <col min="9" max="9" width="10" customWidth="1"/>
    <col min="10" max="10" width="1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3">
        <f>SUMIFS('Ingredient Costing'!$M$2:$M$559,'Ingredient Costing'!$A$2:$A$559,$B2)</f>
        <v>281.35513333333336</v>
      </c>
      <c r="E2" s="2">
        <f>SUMIFS('Ingredient Costing'!$L$2:$L$559,'Ingredient Costing'!$A$2:$A$559,$B2)</f>
        <v>345.93</v>
      </c>
      <c r="F2" s="2">
        <f>COUNTIFS('Ingredient Costing'!$A$2:$A$559,$B2,'Ingredient Costing'!$D$2:$D$559,"Costed")+COUNTIFS('Ingredient Costing'!$A$2:$A$559,$B2,'Ingredient Costing'!$D$2:$D$559,"Substitute")+COUNTIFS('Ingredient Costing'!$A$2:$A$559,$B2,'Ingredient Costing'!$D$2:$D$559,"Uses 5 Veg Mince")</f>
        <v>7</v>
      </c>
      <c r="G2" s="2">
        <f>SUMPRODUCT(('Ingredient Costing'!$A$2:$A$559=$B2)*(('Ingredient Costing'!$D$2:$D$559="Substitute")+(LEFT('Ingredient Costing'!$N$2:$N$559,16)="Amount not given")&gt;0))</f>
        <v>2</v>
      </c>
      <c r="H2" s="2">
        <f>COUNTIFS('Ingredient Costing'!$A$2:$A$559,$B2,'Ingredient Costing'!$D$2:$D$559,"Not at Woolworths")</f>
        <v>0</v>
      </c>
      <c r="I2" s="2">
        <f>COUNTIFS('Ingredient Costing'!$A$2:$A$559,$B2,'Ingredient Costing'!$D$2:$D$559,"Basic - not costed")</f>
        <v>0</v>
      </c>
      <c r="J2" s="4" t="s">
        <v>12</v>
      </c>
    </row>
    <row r="3" spans="1:10" x14ac:dyDescent="0.2">
      <c r="A3" s="5">
        <v>2</v>
      </c>
      <c r="B3" s="5" t="s">
        <v>13</v>
      </c>
      <c r="C3" s="5" t="s">
        <v>14</v>
      </c>
      <c r="D3" s="6">
        <f>SUMIFS('Ingredient Costing'!$M$2:$M$559,'Ingredient Costing'!$A$2:$A$559,$B3)</f>
        <v>100.41482857142857</v>
      </c>
      <c r="E3" s="5">
        <f>SUMIFS('Ingredient Costing'!$L$2:$L$559,'Ingredient Costing'!$A$2:$A$559,$B3)</f>
        <v>339.93</v>
      </c>
      <c r="F3" s="5">
        <f>COUNTIFS('Ingredient Costing'!$A$2:$A$559,$B3,'Ingredient Costing'!$D$2:$D$559,"Costed")+COUNTIFS('Ingredient Costing'!$A$2:$A$559,$B3,'Ingredient Costing'!$D$2:$D$559,"Substitute")+COUNTIFS('Ingredient Costing'!$A$2:$A$559,$B3,'Ingredient Costing'!$D$2:$D$559,"Uses 5 Veg Mince")</f>
        <v>7</v>
      </c>
      <c r="G3" s="5">
        <f>SUMPRODUCT(('Ingredient Costing'!$A$2:$A$559=$B3)*(('Ingredient Costing'!$D$2:$D$559="Substitute")+(LEFT('Ingredient Costing'!$N$2:$N$559,16)="Amount not given")&gt;0))</f>
        <v>6</v>
      </c>
      <c r="H3" s="5">
        <f>COUNTIFS('Ingredient Costing'!$A$2:$A$559,$B3,'Ingredient Costing'!$D$2:$D$559,"Not at Woolworths")</f>
        <v>0</v>
      </c>
      <c r="I3" s="5">
        <f>COUNTIFS('Ingredient Costing'!$A$2:$A$559,$B3,'Ingredient Costing'!$D$2:$D$559,"Basic - not costed")</f>
        <v>0</v>
      </c>
      <c r="J3" s="7" t="s">
        <v>12</v>
      </c>
    </row>
    <row r="4" spans="1:10" x14ac:dyDescent="0.2">
      <c r="A4" s="2">
        <v>3</v>
      </c>
      <c r="B4" s="2" t="s">
        <v>15</v>
      </c>
      <c r="C4" s="2" t="s">
        <v>11</v>
      </c>
      <c r="D4" s="3">
        <f>SUMIFS('Ingredient Costing'!$M$2:$M$559,'Ingredient Costing'!$A$2:$A$559,$B4)</f>
        <v>101.4820438095238</v>
      </c>
      <c r="E4" s="2">
        <f>SUMIFS('Ingredient Costing'!$L$2:$L$559,'Ingredient Costing'!$A$2:$A$559,$B4)</f>
        <v>501.82000000000005</v>
      </c>
      <c r="F4" s="2">
        <f>COUNTIFS('Ingredient Costing'!$A$2:$A$559,$B4,'Ingredient Costing'!$D$2:$D$559,"Costed")+COUNTIFS('Ingredient Costing'!$A$2:$A$559,$B4,'Ingredient Costing'!$D$2:$D$559,"Substitute")+COUNTIFS('Ingredient Costing'!$A$2:$A$559,$B4,'Ingredient Costing'!$D$2:$D$559,"Uses 5 Veg Mince")</f>
        <v>8</v>
      </c>
      <c r="G4" s="2">
        <f>SUMPRODUCT(('Ingredient Costing'!$A$2:$A$559=$B4)*(('Ingredient Costing'!$D$2:$D$559="Substitute")+(LEFT('Ingredient Costing'!$N$2:$N$559,16)="Amount not given")&gt;0))</f>
        <v>2</v>
      </c>
      <c r="H4" s="2">
        <f>COUNTIFS('Ingredient Costing'!$A$2:$A$559,$B4,'Ingredient Costing'!$D$2:$D$559,"Not at Woolworths")</f>
        <v>0</v>
      </c>
      <c r="I4" s="2">
        <f>COUNTIFS('Ingredient Costing'!$A$2:$A$559,$B4,'Ingredient Costing'!$D$2:$D$559,"Basic - not costed")</f>
        <v>1</v>
      </c>
      <c r="J4" s="4" t="s">
        <v>12</v>
      </c>
    </row>
    <row r="5" spans="1:10" x14ac:dyDescent="0.2">
      <c r="A5" s="5">
        <v>4</v>
      </c>
      <c r="B5" s="5" t="s">
        <v>16</v>
      </c>
      <c r="C5" s="5" t="s">
        <v>17</v>
      </c>
      <c r="D5" s="6">
        <f>SUMIFS('Ingredient Costing'!$M$2:$M$559,'Ingredient Costing'!$A$2:$A$559,$B5)</f>
        <v>102.58268000000001</v>
      </c>
      <c r="E5" s="5">
        <f>SUMIFS('Ingredient Costing'!$L$2:$L$559,'Ingredient Costing'!$A$2:$A$559,$B5)</f>
        <v>299.92</v>
      </c>
      <c r="F5" s="5">
        <f>COUNTIFS('Ingredient Costing'!$A$2:$A$559,$B5,'Ingredient Costing'!$D$2:$D$559,"Costed")+COUNTIFS('Ingredient Costing'!$A$2:$A$559,$B5,'Ingredient Costing'!$D$2:$D$559,"Substitute")+COUNTIFS('Ingredient Costing'!$A$2:$A$559,$B5,'Ingredient Costing'!$D$2:$D$559,"Uses 5 Veg Mince")</f>
        <v>9</v>
      </c>
      <c r="G5" s="5">
        <f>SUMPRODUCT(('Ingredient Costing'!$A$2:$A$559=$B5)*(('Ingredient Costing'!$D$2:$D$559="Substitute")+(LEFT('Ingredient Costing'!$N$2:$N$559,16)="Amount not given")&gt;0))</f>
        <v>1</v>
      </c>
      <c r="H5" s="5">
        <f>COUNTIFS('Ingredient Costing'!$A$2:$A$559,$B5,'Ingredient Costing'!$D$2:$D$559,"Not at Woolworths")</f>
        <v>0</v>
      </c>
      <c r="I5" s="5">
        <f>COUNTIFS('Ingredient Costing'!$A$2:$A$559,$B5,'Ingredient Costing'!$D$2:$D$559,"Basic - not costed")</f>
        <v>1</v>
      </c>
      <c r="J5" s="7" t="s">
        <v>12</v>
      </c>
    </row>
    <row r="6" spans="1:10" x14ac:dyDescent="0.2">
      <c r="A6" s="2">
        <v>5</v>
      </c>
      <c r="B6" s="2" t="s">
        <v>18</v>
      </c>
      <c r="C6" s="2" t="s">
        <v>11</v>
      </c>
      <c r="D6" s="3">
        <f>SUMIFS('Ingredient Costing'!$M$2:$M$559,'Ingredient Costing'!$A$2:$A$559,$B6)</f>
        <v>233.84318666666667</v>
      </c>
      <c r="E6" s="2">
        <f>SUMIFS('Ingredient Costing'!$L$2:$L$559,'Ingredient Costing'!$A$2:$A$559,$B6)</f>
        <v>481.79000000000008</v>
      </c>
      <c r="F6" s="2">
        <f>COUNTIFS('Ingredient Costing'!$A$2:$A$559,$B6,'Ingredient Costing'!$D$2:$D$559,"Costed")+COUNTIFS('Ingredient Costing'!$A$2:$A$559,$B6,'Ingredient Costing'!$D$2:$D$559,"Substitute")+COUNTIFS('Ingredient Costing'!$A$2:$A$559,$B6,'Ingredient Costing'!$D$2:$D$559,"Uses 5 Veg Mince")</f>
        <v>13</v>
      </c>
      <c r="G6" s="2">
        <f>SUMPRODUCT(('Ingredient Costing'!$A$2:$A$559=$B6)*(('Ingredient Costing'!$D$2:$D$559="Substitute")+(LEFT('Ingredient Costing'!$N$2:$N$559,16)="Amount not given")&gt;0))</f>
        <v>1</v>
      </c>
      <c r="H6" s="2">
        <f>COUNTIFS('Ingredient Costing'!$A$2:$A$559,$B6,'Ingredient Costing'!$D$2:$D$559,"Not at Woolworths")</f>
        <v>0</v>
      </c>
      <c r="I6" s="2">
        <f>COUNTIFS('Ingredient Costing'!$A$2:$A$559,$B6,'Ingredient Costing'!$D$2:$D$559,"Basic - not costed")</f>
        <v>2</v>
      </c>
      <c r="J6" s="4" t="s">
        <v>12</v>
      </c>
    </row>
    <row r="7" spans="1:10" x14ac:dyDescent="0.2">
      <c r="A7" s="5">
        <v>6</v>
      </c>
      <c r="B7" s="5" t="s">
        <v>19</v>
      </c>
      <c r="C7" s="5" t="s">
        <v>20</v>
      </c>
      <c r="D7" s="6">
        <f>SUMIFS('Ingredient Costing'!$M$2:$M$559,'Ingredient Costing'!$A$2:$A$559,$B7)</f>
        <v>57.216000000000001</v>
      </c>
      <c r="E7" s="5">
        <f>SUMIFS('Ingredient Costing'!$L$2:$L$559,'Ingredient Costing'!$A$2:$A$559,$B7)</f>
        <v>261.94</v>
      </c>
      <c r="F7" s="5">
        <f>COUNTIFS('Ingredient Costing'!$A$2:$A$559,$B7,'Ingredient Costing'!$D$2:$D$559,"Costed")+COUNTIFS('Ingredient Costing'!$A$2:$A$559,$B7,'Ingredient Costing'!$D$2:$D$559,"Substitute")+COUNTIFS('Ingredient Costing'!$A$2:$A$559,$B7,'Ingredient Costing'!$D$2:$D$559,"Uses 5 Veg Mince")</f>
        <v>6</v>
      </c>
      <c r="G7" s="5">
        <f>SUMPRODUCT(('Ingredient Costing'!$A$2:$A$559=$B7)*(('Ingredient Costing'!$D$2:$D$559="Substitute")+(LEFT('Ingredient Costing'!$N$2:$N$559,16)="Amount not given")&gt;0))</f>
        <v>4</v>
      </c>
      <c r="H7" s="5">
        <f>COUNTIFS('Ingredient Costing'!$A$2:$A$559,$B7,'Ingredient Costing'!$D$2:$D$559,"Not at Woolworths")</f>
        <v>0</v>
      </c>
      <c r="I7" s="5">
        <f>COUNTIFS('Ingredient Costing'!$A$2:$A$559,$B7,'Ingredient Costing'!$D$2:$D$559,"Basic - not costed")</f>
        <v>1</v>
      </c>
      <c r="J7" s="7" t="s">
        <v>12</v>
      </c>
    </row>
    <row r="8" spans="1:10" x14ac:dyDescent="0.2">
      <c r="A8" s="2">
        <v>7</v>
      </c>
      <c r="B8" s="2" t="s">
        <v>21</v>
      </c>
      <c r="C8" s="2" t="s">
        <v>22</v>
      </c>
      <c r="D8" s="3">
        <f>SUMIFS('Ingredient Costing'!$M$2:$M$559,'Ingredient Costing'!$A$2:$A$559,$B8)</f>
        <v>34.320300000000003</v>
      </c>
      <c r="E8" s="2">
        <f>SUMIFS('Ingredient Costing'!$L$2:$L$559,'Ingredient Costing'!$A$2:$A$559,$B8)</f>
        <v>163.95000000000002</v>
      </c>
      <c r="F8" s="2">
        <f>COUNTIFS('Ingredient Costing'!$A$2:$A$559,$B8,'Ingredient Costing'!$D$2:$D$559,"Costed")+COUNTIFS('Ingredient Costing'!$A$2:$A$559,$B8,'Ingredient Costing'!$D$2:$D$559,"Substitute")+COUNTIFS('Ingredient Costing'!$A$2:$A$559,$B8,'Ingredient Costing'!$D$2:$D$559,"Uses 5 Veg Mince")</f>
        <v>5</v>
      </c>
      <c r="G8" s="2">
        <f>SUMPRODUCT(('Ingredient Costing'!$A$2:$A$559=$B8)*(('Ingredient Costing'!$D$2:$D$559="Substitute")+(LEFT('Ingredient Costing'!$N$2:$N$559,16)="Amount not given")&gt;0))</f>
        <v>1</v>
      </c>
      <c r="H8" s="2">
        <f>COUNTIFS('Ingredient Costing'!$A$2:$A$559,$B8,'Ingredient Costing'!$D$2:$D$559,"Not at Woolworths")</f>
        <v>0</v>
      </c>
      <c r="I8" s="2">
        <f>COUNTIFS('Ingredient Costing'!$A$2:$A$559,$B8,'Ingredient Costing'!$D$2:$D$559,"Basic - not costed")</f>
        <v>1</v>
      </c>
      <c r="J8" s="4" t="s">
        <v>12</v>
      </c>
    </row>
    <row r="9" spans="1:10" x14ac:dyDescent="0.2">
      <c r="A9" s="5">
        <v>8</v>
      </c>
      <c r="B9" s="5" t="s">
        <v>23</v>
      </c>
      <c r="C9" s="5" t="s">
        <v>11</v>
      </c>
      <c r="D9" s="6">
        <f>SUMIFS('Ingredient Costing'!$M$2:$M$559,'Ingredient Costing'!$A$2:$A$559,$B9)</f>
        <v>299.98727000000002</v>
      </c>
      <c r="E9" s="5">
        <f>SUMIFS('Ingredient Costing'!$L$2:$L$559,'Ingredient Costing'!$A$2:$A$559,$B9)</f>
        <v>796.88000000000011</v>
      </c>
      <c r="F9" s="5">
        <f>COUNTIFS('Ingredient Costing'!$A$2:$A$559,$B9,'Ingredient Costing'!$D$2:$D$559,"Costed")+COUNTIFS('Ingredient Costing'!$A$2:$A$559,$B9,'Ingredient Costing'!$D$2:$D$559,"Substitute")+COUNTIFS('Ingredient Costing'!$A$2:$A$559,$B9,'Ingredient Costing'!$D$2:$D$559,"Uses 5 Veg Mince")</f>
        <v>14</v>
      </c>
      <c r="G9" s="5">
        <f>SUMPRODUCT(('Ingredient Costing'!$A$2:$A$559=$B9)*(('Ingredient Costing'!$D$2:$D$559="Substitute")+(LEFT('Ingredient Costing'!$N$2:$N$559,16)="Amount not given")&gt;0))</f>
        <v>1</v>
      </c>
      <c r="H9" s="5">
        <f>COUNTIFS('Ingredient Costing'!$A$2:$A$559,$B9,'Ingredient Costing'!$D$2:$D$559,"Not at Woolworths")</f>
        <v>0</v>
      </c>
      <c r="I9" s="5">
        <f>COUNTIFS('Ingredient Costing'!$A$2:$A$559,$B9,'Ingredient Costing'!$D$2:$D$559,"Basic - not costed")</f>
        <v>0</v>
      </c>
      <c r="J9" s="7" t="s">
        <v>12</v>
      </c>
    </row>
    <row r="10" spans="1:10" x14ac:dyDescent="0.2">
      <c r="A10" s="2">
        <v>9</v>
      </c>
      <c r="B10" s="2" t="s">
        <v>24</v>
      </c>
      <c r="C10" s="2" t="s">
        <v>20</v>
      </c>
      <c r="D10" s="3">
        <f>SUMIFS('Ingredient Costing'!$M$2:$M$559,'Ingredient Costing'!$A$2:$A$559,$B10)</f>
        <v>49.649899999999995</v>
      </c>
      <c r="E10" s="2">
        <f>SUMIFS('Ingredient Costing'!$L$2:$L$559,'Ingredient Costing'!$A$2:$A$559,$B10)</f>
        <v>202.95000000000002</v>
      </c>
      <c r="F10" s="2">
        <f>COUNTIFS('Ingredient Costing'!$A$2:$A$559,$B10,'Ingredient Costing'!$D$2:$D$559,"Costed")+COUNTIFS('Ingredient Costing'!$A$2:$A$559,$B10,'Ingredient Costing'!$D$2:$D$559,"Substitute")+COUNTIFS('Ingredient Costing'!$A$2:$A$559,$B10,'Ingredient Costing'!$D$2:$D$559,"Uses 5 Veg Mince")</f>
        <v>5</v>
      </c>
      <c r="G10" s="2">
        <f>SUMPRODUCT(('Ingredient Costing'!$A$2:$A$559=$B10)*(('Ingredient Costing'!$D$2:$D$559="Substitute")+(LEFT('Ingredient Costing'!$N$2:$N$559,16)="Amount not given")&gt;0))</f>
        <v>4</v>
      </c>
      <c r="H10" s="2">
        <f>COUNTIFS('Ingredient Costing'!$A$2:$A$559,$B10,'Ingredient Costing'!$D$2:$D$559,"Not at Woolworths")</f>
        <v>0</v>
      </c>
      <c r="I10" s="2">
        <f>COUNTIFS('Ingredient Costing'!$A$2:$A$559,$B10,'Ingredient Costing'!$D$2:$D$559,"Basic - not costed")</f>
        <v>1</v>
      </c>
      <c r="J10" s="4" t="s">
        <v>12</v>
      </c>
    </row>
    <row r="11" spans="1:10" x14ac:dyDescent="0.2">
      <c r="A11" s="5">
        <v>10</v>
      </c>
      <c r="B11" s="5" t="s">
        <v>25</v>
      </c>
      <c r="C11" s="5" t="s">
        <v>26</v>
      </c>
      <c r="D11" s="6">
        <f>SUMIFS('Ingredient Costing'!$M$2:$M$559,'Ingredient Costing'!$A$2:$A$559,$B11)</f>
        <v>9.8496600000000001</v>
      </c>
      <c r="E11" s="5">
        <f>SUMIFS('Ingredient Costing'!$L$2:$L$559,'Ingredient Costing'!$A$2:$A$559,$B11)</f>
        <v>141.97</v>
      </c>
      <c r="F11" s="5">
        <f>COUNTIFS('Ingredient Costing'!$A$2:$A$559,$B11,'Ingredient Costing'!$D$2:$D$559,"Costed")+COUNTIFS('Ingredient Costing'!$A$2:$A$559,$B11,'Ingredient Costing'!$D$2:$D$559,"Substitute")+COUNTIFS('Ingredient Costing'!$A$2:$A$559,$B11,'Ingredient Costing'!$D$2:$D$559,"Uses 5 Veg Mince")</f>
        <v>3</v>
      </c>
      <c r="G11" s="5">
        <f>SUMPRODUCT(('Ingredient Costing'!$A$2:$A$559=$B11)*(('Ingredient Costing'!$D$2:$D$559="Substitute")+(LEFT('Ingredient Costing'!$N$2:$N$559,16)="Amount not given")&gt;0))</f>
        <v>0</v>
      </c>
      <c r="H11" s="5">
        <f>COUNTIFS('Ingredient Costing'!$A$2:$A$559,$B11,'Ingredient Costing'!$D$2:$D$559,"Not at Woolworths")</f>
        <v>0</v>
      </c>
      <c r="I11" s="5">
        <f>COUNTIFS('Ingredient Costing'!$A$2:$A$559,$B11,'Ingredient Costing'!$D$2:$D$559,"Basic - not costed")</f>
        <v>0</v>
      </c>
      <c r="J11" s="7" t="s">
        <v>12</v>
      </c>
    </row>
    <row r="12" spans="1:10" x14ac:dyDescent="0.2">
      <c r="A12" s="2">
        <v>11</v>
      </c>
      <c r="B12" s="2" t="s">
        <v>27</v>
      </c>
      <c r="C12" s="2" t="s">
        <v>11</v>
      </c>
      <c r="D12" s="3">
        <f>SUMIFS('Ingredient Costing'!$M$2:$M$559,'Ingredient Costing'!$A$2:$A$559,$B12)</f>
        <v>258.52809333333335</v>
      </c>
      <c r="E12" s="2">
        <f>SUMIFS('Ingredient Costing'!$L$2:$L$559,'Ingredient Costing'!$A$2:$A$559,$B12)</f>
        <v>499.7600000000001</v>
      </c>
      <c r="F12" s="2">
        <f>COUNTIFS('Ingredient Costing'!$A$2:$A$559,$B12,'Ingredient Costing'!$D$2:$D$559,"Costed")+COUNTIFS('Ingredient Costing'!$A$2:$A$559,$B12,'Ingredient Costing'!$D$2:$D$559,"Substitute")+COUNTIFS('Ingredient Costing'!$A$2:$A$559,$B12,'Ingredient Costing'!$D$2:$D$559,"Uses 5 Veg Mince")</f>
        <v>14</v>
      </c>
      <c r="G12" s="2">
        <f>SUMPRODUCT(('Ingredient Costing'!$A$2:$A$559=$B12)*(('Ingredient Costing'!$D$2:$D$559="Substitute")+(LEFT('Ingredient Costing'!$N$2:$N$559,16)="Amount not given")&gt;0))</f>
        <v>4</v>
      </c>
      <c r="H12" s="2">
        <f>COUNTIFS('Ingredient Costing'!$A$2:$A$559,$B12,'Ingredient Costing'!$D$2:$D$559,"Not at Woolworths")</f>
        <v>0</v>
      </c>
      <c r="I12" s="2">
        <f>COUNTIFS('Ingredient Costing'!$A$2:$A$559,$B12,'Ingredient Costing'!$D$2:$D$559,"Basic - not costed")</f>
        <v>1</v>
      </c>
      <c r="J12" s="4" t="s">
        <v>12</v>
      </c>
    </row>
    <row r="13" spans="1:10" x14ac:dyDescent="0.2">
      <c r="A13" s="5">
        <v>12</v>
      </c>
      <c r="B13" s="5" t="s">
        <v>28</v>
      </c>
      <c r="C13" s="5" t="s">
        <v>11</v>
      </c>
      <c r="D13" s="6">
        <f>SUMIFS('Ingredient Costing'!$M$2:$M$559,'Ingredient Costing'!$A$2:$A$559,$B13)</f>
        <v>248.50150000000005</v>
      </c>
      <c r="E13" s="5">
        <f>SUMIFS('Ingredient Costing'!$L$2:$L$559,'Ingredient Costing'!$A$2:$A$559,$B13)</f>
        <v>387.94000000000005</v>
      </c>
      <c r="F13" s="5">
        <f>COUNTIFS('Ingredient Costing'!$A$2:$A$559,$B13,'Ingredient Costing'!$D$2:$D$559,"Costed")+COUNTIFS('Ingredient Costing'!$A$2:$A$559,$B13,'Ingredient Costing'!$D$2:$D$559,"Substitute")+COUNTIFS('Ingredient Costing'!$A$2:$A$559,$B13,'Ingredient Costing'!$D$2:$D$559,"Uses 5 Veg Mince")</f>
        <v>7</v>
      </c>
      <c r="G13" s="5">
        <f>SUMPRODUCT(('Ingredient Costing'!$A$2:$A$559=$B13)*(('Ingredient Costing'!$D$2:$D$559="Substitute")+(LEFT('Ingredient Costing'!$N$2:$N$559,16)="Amount not given")&gt;0))</f>
        <v>6</v>
      </c>
      <c r="H13" s="5">
        <f>COUNTIFS('Ingredient Costing'!$A$2:$A$559,$B13,'Ingredient Costing'!$D$2:$D$559,"Not at Woolworths")</f>
        <v>0</v>
      </c>
      <c r="I13" s="5">
        <f>COUNTIFS('Ingredient Costing'!$A$2:$A$559,$B13,'Ingredient Costing'!$D$2:$D$559,"Basic - not costed")</f>
        <v>1</v>
      </c>
      <c r="J13" s="7" t="s">
        <v>12</v>
      </c>
    </row>
    <row r="14" spans="1:10" x14ac:dyDescent="0.2">
      <c r="A14" s="2">
        <v>13</v>
      </c>
      <c r="B14" s="2" t="s">
        <v>29</v>
      </c>
      <c r="C14" s="2" t="s">
        <v>20</v>
      </c>
      <c r="D14" s="3">
        <f>SUMIFS('Ingredient Costing'!$M$2:$M$559,'Ingredient Costing'!$A$2:$A$559,$B14)</f>
        <v>73.897439999999989</v>
      </c>
      <c r="E14" s="2">
        <f>SUMIFS('Ingredient Costing'!$L$2:$L$559,'Ingredient Costing'!$A$2:$A$559,$B14)</f>
        <v>372.95</v>
      </c>
      <c r="F14" s="2">
        <f>COUNTIFS('Ingredient Costing'!$A$2:$A$559,$B14,'Ingredient Costing'!$D$2:$D$559,"Costed")+COUNTIFS('Ingredient Costing'!$A$2:$A$559,$B14,'Ingredient Costing'!$D$2:$D$559,"Substitute")+COUNTIFS('Ingredient Costing'!$A$2:$A$559,$B14,'Ingredient Costing'!$D$2:$D$559,"Uses 5 Veg Mince")</f>
        <v>5</v>
      </c>
      <c r="G14" s="2">
        <f>SUMPRODUCT(('Ingredient Costing'!$A$2:$A$559=$B14)*(('Ingredient Costing'!$D$2:$D$559="Substitute")+(LEFT('Ingredient Costing'!$N$2:$N$559,16)="Amount not given")&gt;0))</f>
        <v>0</v>
      </c>
      <c r="H14" s="2">
        <f>COUNTIFS('Ingredient Costing'!$A$2:$A$559,$B14,'Ingredient Costing'!$D$2:$D$559,"Not at Woolworths")</f>
        <v>1</v>
      </c>
      <c r="I14" s="2">
        <f>COUNTIFS('Ingredient Costing'!$A$2:$A$559,$B14,'Ingredient Costing'!$D$2:$D$559,"Basic - not costed")</f>
        <v>2</v>
      </c>
      <c r="J14" s="4" t="s">
        <v>12</v>
      </c>
    </row>
    <row r="15" spans="1:10" x14ac:dyDescent="0.2">
      <c r="A15" s="5">
        <v>14</v>
      </c>
      <c r="B15" s="5" t="s">
        <v>30</v>
      </c>
      <c r="C15" s="5" t="s">
        <v>11</v>
      </c>
      <c r="D15" s="6">
        <f>SUMIFS('Ingredient Costing'!$M$2:$M$559,'Ingredient Costing'!$A$2:$A$559,$B15)</f>
        <v>200.94320000000002</v>
      </c>
      <c r="E15" s="5">
        <f>SUMIFS('Ingredient Costing'!$L$2:$L$559,'Ingredient Costing'!$A$2:$A$559,$B15)</f>
        <v>313.92</v>
      </c>
      <c r="F15" s="5">
        <f>COUNTIFS('Ingredient Costing'!$A$2:$A$559,$B15,'Ingredient Costing'!$D$2:$D$559,"Costed")+COUNTIFS('Ingredient Costing'!$A$2:$A$559,$B15,'Ingredient Costing'!$D$2:$D$559,"Substitute")+COUNTIFS('Ingredient Costing'!$A$2:$A$559,$B15,'Ingredient Costing'!$D$2:$D$559,"Uses 5 Veg Mince")</f>
        <v>6</v>
      </c>
      <c r="G15" s="5">
        <f>SUMPRODUCT(('Ingredient Costing'!$A$2:$A$559=$B15)*(('Ingredient Costing'!$D$2:$D$559="Substitute")+(LEFT('Ingredient Costing'!$N$2:$N$559,16)="Amount not given")&gt;0))</f>
        <v>3</v>
      </c>
      <c r="H15" s="5">
        <f>COUNTIFS('Ingredient Costing'!$A$2:$A$559,$B15,'Ingredient Costing'!$D$2:$D$559,"Not at Woolworths")</f>
        <v>0</v>
      </c>
      <c r="I15" s="5">
        <f>COUNTIFS('Ingredient Costing'!$A$2:$A$559,$B15,'Ingredient Costing'!$D$2:$D$559,"Basic - not costed")</f>
        <v>0</v>
      </c>
      <c r="J15" s="7" t="s">
        <v>12</v>
      </c>
    </row>
    <row r="16" spans="1:10" x14ac:dyDescent="0.2">
      <c r="A16" s="2">
        <v>15</v>
      </c>
      <c r="B16" s="2" t="s">
        <v>31</v>
      </c>
      <c r="C16" s="2" t="s">
        <v>11</v>
      </c>
      <c r="D16" s="3">
        <f>SUMIFS('Ingredient Costing'!$M$2:$M$559,'Ingredient Costing'!$A$2:$A$559,$B16)</f>
        <v>347.14725627906978</v>
      </c>
      <c r="E16" s="2">
        <f>SUMIFS('Ingredient Costing'!$L$2:$L$559,'Ingredient Costing'!$A$2:$A$559,$B16)</f>
        <v>593.91000000000008</v>
      </c>
      <c r="F16" s="2">
        <f>COUNTIFS('Ingredient Costing'!$A$2:$A$559,$B16,'Ingredient Costing'!$D$2:$D$559,"Costed")+COUNTIFS('Ingredient Costing'!$A$2:$A$559,$B16,'Ingredient Costing'!$D$2:$D$559,"Substitute")+COUNTIFS('Ingredient Costing'!$A$2:$A$559,$B16,'Ingredient Costing'!$D$2:$D$559,"Uses 5 Veg Mince")</f>
        <v>9</v>
      </c>
      <c r="G16" s="2">
        <f>SUMPRODUCT(('Ingredient Costing'!$A$2:$A$559=$B16)*(('Ingredient Costing'!$D$2:$D$559="Substitute")+(LEFT('Ingredient Costing'!$N$2:$N$559,16)="Amount not given")&gt;0))</f>
        <v>6</v>
      </c>
      <c r="H16" s="2">
        <f>COUNTIFS('Ingredient Costing'!$A$2:$A$559,$B16,'Ingredient Costing'!$D$2:$D$559,"Not at Woolworths")</f>
        <v>0</v>
      </c>
      <c r="I16" s="2">
        <f>COUNTIFS('Ingredient Costing'!$A$2:$A$559,$B16,'Ingredient Costing'!$D$2:$D$559,"Basic - not costed")</f>
        <v>0</v>
      </c>
      <c r="J16" s="4" t="s">
        <v>12</v>
      </c>
    </row>
    <row r="17" spans="1:10" x14ac:dyDescent="0.2">
      <c r="A17" s="5">
        <v>16</v>
      </c>
      <c r="B17" s="5" t="s">
        <v>32</v>
      </c>
      <c r="C17" s="5" t="s">
        <v>11</v>
      </c>
      <c r="D17" s="6">
        <f>SUMIFS('Ingredient Costing'!$M$2:$M$559,'Ingredient Costing'!$A$2:$A$559,$B17)</f>
        <v>562.96583333333342</v>
      </c>
      <c r="E17" s="5">
        <f>SUMIFS('Ingredient Costing'!$L$2:$L$559,'Ingredient Costing'!$A$2:$A$559,$B17)</f>
        <v>809.73</v>
      </c>
      <c r="F17" s="5">
        <f>COUNTIFS('Ingredient Costing'!$A$2:$A$559,$B17,'Ingredient Costing'!$D$2:$D$559,"Costed")+COUNTIFS('Ingredient Costing'!$A$2:$A$559,$B17,'Ingredient Costing'!$D$2:$D$559,"Substitute")+COUNTIFS('Ingredient Costing'!$A$2:$A$559,$B17,'Ingredient Costing'!$D$2:$D$559,"Uses 5 Veg Mince")</f>
        <v>15</v>
      </c>
      <c r="G17" s="5">
        <f>SUMPRODUCT(('Ingredient Costing'!$A$2:$A$559=$B17)*(('Ingredient Costing'!$D$2:$D$559="Substitute")+(LEFT('Ingredient Costing'!$N$2:$N$559,16)="Amount not given")&gt;0))</f>
        <v>5</v>
      </c>
      <c r="H17" s="5">
        <f>COUNTIFS('Ingredient Costing'!$A$2:$A$559,$B17,'Ingredient Costing'!$D$2:$D$559,"Not at Woolworths")</f>
        <v>0</v>
      </c>
      <c r="I17" s="5">
        <f>COUNTIFS('Ingredient Costing'!$A$2:$A$559,$B17,'Ingredient Costing'!$D$2:$D$559,"Basic - not costed")</f>
        <v>1</v>
      </c>
      <c r="J17" s="7" t="s">
        <v>12</v>
      </c>
    </row>
    <row r="18" spans="1:10" x14ac:dyDescent="0.2">
      <c r="A18" s="2">
        <v>17</v>
      </c>
      <c r="B18" s="2" t="s">
        <v>33</v>
      </c>
      <c r="C18" s="2" t="s">
        <v>17</v>
      </c>
      <c r="D18" s="3">
        <f>SUMIFS('Ingredient Costing'!$M$2:$M$559,'Ingredient Costing'!$A$2:$A$559,$B18)</f>
        <v>88.787875</v>
      </c>
      <c r="E18" s="2">
        <f>SUMIFS('Ingredient Costing'!$L$2:$L$559,'Ingredient Costing'!$A$2:$A$559,$B18)</f>
        <v>209.95</v>
      </c>
      <c r="F18" s="2">
        <f>COUNTIFS('Ingredient Costing'!$A$2:$A$559,$B18,'Ingredient Costing'!$D$2:$D$559,"Costed")+COUNTIFS('Ingredient Costing'!$A$2:$A$559,$B18,'Ingredient Costing'!$D$2:$D$559,"Substitute")+COUNTIFS('Ingredient Costing'!$A$2:$A$559,$B18,'Ingredient Costing'!$D$2:$D$559,"Uses 5 Veg Mince")</f>
        <v>5</v>
      </c>
      <c r="G18" s="2">
        <f>SUMPRODUCT(('Ingredient Costing'!$A$2:$A$559=$B18)*(('Ingredient Costing'!$D$2:$D$559="Substitute")+(LEFT('Ingredient Costing'!$N$2:$N$559,16)="Amount not given")&gt;0))</f>
        <v>0</v>
      </c>
      <c r="H18" s="2">
        <f>COUNTIFS('Ingredient Costing'!$A$2:$A$559,$B18,'Ingredient Costing'!$D$2:$D$559,"Not at Woolworths")</f>
        <v>0</v>
      </c>
      <c r="I18" s="2">
        <f>COUNTIFS('Ingredient Costing'!$A$2:$A$559,$B18,'Ingredient Costing'!$D$2:$D$559,"Basic - not costed")</f>
        <v>2</v>
      </c>
      <c r="J18" s="4" t="s">
        <v>12</v>
      </c>
    </row>
    <row r="19" spans="1:10" x14ac:dyDescent="0.2">
      <c r="A19" s="5">
        <v>18</v>
      </c>
      <c r="B19" s="5" t="s">
        <v>34</v>
      </c>
      <c r="C19" s="5" t="s">
        <v>22</v>
      </c>
      <c r="D19" s="6">
        <f>SUMIFS('Ingredient Costing'!$M$2:$M$559,'Ingredient Costing'!$A$2:$A$559,$B19)</f>
        <v>13.838967142857141</v>
      </c>
      <c r="E19" s="5">
        <f>SUMIFS('Ingredient Costing'!$L$2:$L$559,'Ingredient Costing'!$A$2:$A$559,$B19)</f>
        <v>168.95999999999998</v>
      </c>
      <c r="F19" s="5">
        <f>COUNTIFS('Ingredient Costing'!$A$2:$A$559,$B19,'Ingredient Costing'!$D$2:$D$559,"Costed")+COUNTIFS('Ingredient Costing'!$A$2:$A$559,$B19,'Ingredient Costing'!$D$2:$D$559,"Substitute")+COUNTIFS('Ingredient Costing'!$A$2:$A$559,$B19,'Ingredient Costing'!$D$2:$D$559,"Uses 5 Veg Mince")</f>
        <v>4</v>
      </c>
      <c r="G19" s="5">
        <f>SUMPRODUCT(('Ingredient Costing'!$A$2:$A$559=$B19)*(('Ingredient Costing'!$D$2:$D$559="Substitute")+(LEFT('Ingredient Costing'!$N$2:$N$559,16)="Amount not given")&gt;0))</f>
        <v>1</v>
      </c>
      <c r="H19" s="5">
        <f>COUNTIFS('Ingredient Costing'!$A$2:$A$559,$B19,'Ingredient Costing'!$D$2:$D$559,"Not at Woolworths")</f>
        <v>0</v>
      </c>
      <c r="I19" s="5">
        <f>COUNTIFS('Ingredient Costing'!$A$2:$A$559,$B19,'Ingredient Costing'!$D$2:$D$559,"Basic - not costed")</f>
        <v>1</v>
      </c>
      <c r="J19" s="7" t="s">
        <v>12</v>
      </c>
    </row>
    <row r="20" spans="1:10" x14ac:dyDescent="0.2">
      <c r="A20" s="2">
        <v>19</v>
      </c>
      <c r="B20" s="2" t="s">
        <v>35</v>
      </c>
      <c r="C20" s="2" t="s">
        <v>11</v>
      </c>
      <c r="D20" s="3">
        <f>SUMIFS('Ingredient Costing'!$M$2:$M$559,'Ingredient Costing'!$A$2:$A$559,$B20)</f>
        <v>205.15375000000003</v>
      </c>
      <c r="E20" s="2">
        <f>SUMIFS('Ingredient Costing'!$L$2:$L$559,'Ingredient Costing'!$A$2:$A$559,$B20)</f>
        <v>426.80000000000007</v>
      </c>
      <c r="F20" s="2">
        <f>COUNTIFS('Ingredient Costing'!$A$2:$A$559,$B20,'Ingredient Costing'!$D$2:$D$559,"Costed")+COUNTIFS('Ingredient Costing'!$A$2:$A$559,$B20,'Ingredient Costing'!$D$2:$D$559,"Substitute")+COUNTIFS('Ingredient Costing'!$A$2:$A$559,$B20,'Ingredient Costing'!$D$2:$D$559,"Uses 5 Veg Mince")</f>
        <v>11</v>
      </c>
      <c r="G20" s="2">
        <f>SUMPRODUCT(('Ingredient Costing'!$A$2:$A$559=$B20)*(('Ingredient Costing'!$D$2:$D$559="Substitute")+(LEFT('Ingredient Costing'!$N$2:$N$559,16)="Amount not given")&gt;0))</f>
        <v>2</v>
      </c>
      <c r="H20" s="2">
        <f>COUNTIFS('Ingredient Costing'!$A$2:$A$559,$B20,'Ingredient Costing'!$D$2:$D$559,"Not at Woolworths")</f>
        <v>0</v>
      </c>
      <c r="I20" s="2">
        <f>COUNTIFS('Ingredient Costing'!$A$2:$A$559,$B20,'Ingredient Costing'!$D$2:$D$559,"Basic - not costed")</f>
        <v>0</v>
      </c>
      <c r="J20" s="4" t="s">
        <v>12</v>
      </c>
    </row>
    <row r="21" spans="1:10" x14ac:dyDescent="0.2">
      <c r="A21" s="5">
        <v>20</v>
      </c>
      <c r="B21" s="5" t="s">
        <v>36</v>
      </c>
      <c r="C21" s="5" t="s">
        <v>11</v>
      </c>
      <c r="D21" s="6">
        <f>SUMIFS('Ingredient Costing'!$M$2:$M$559,'Ingredient Costing'!$A$2:$A$559,$B21)</f>
        <v>104.68241418439716</v>
      </c>
      <c r="E21" s="5">
        <f>SUMIFS('Ingredient Costing'!$L$2:$L$559,'Ingredient Costing'!$A$2:$A$559,$B21)</f>
        <v>264.94</v>
      </c>
      <c r="F21" s="5">
        <f>COUNTIFS('Ingredient Costing'!$A$2:$A$559,$B21,'Ingredient Costing'!$D$2:$D$559,"Costed")+COUNTIFS('Ingredient Costing'!$A$2:$A$559,$B21,'Ingredient Costing'!$D$2:$D$559,"Substitute")+COUNTIFS('Ingredient Costing'!$A$2:$A$559,$B21,'Ingredient Costing'!$D$2:$D$559,"Uses 5 Veg Mince")</f>
        <v>6</v>
      </c>
      <c r="G21" s="5">
        <f>SUMPRODUCT(('Ingredient Costing'!$A$2:$A$559=$B21)*(('Ingredient Costing'!$D$2:$D$559="Substitute")+(LEFT('Ingredient Costing'!$N$2:$N$559,16)="Amount not given")&gt;0))</f>
        <v>2</v>
      </c>
      <c r="H21" s="5">
        <f>COUNTIFS('Ingredient Costing'!$A$2:$A$559,$B21,'Ingredient Costing'!$D$2:$D$559,"Not at Woolworths")</f>
        <v>0</v>
      </c>
      <c r="I21" s="5">
        <f>COUNTIFS('Ingredient Costing'!$A$2:$A$559,$B21,'Ingredient Costing'!$D$2:$D$559,"Basic - not costed")</f>
        <v>0</v>
      </c>
      <c r="J21" s="7" t="s">
        <v>12</v>
      </c>
    </row>
    <row r="22" spans="1:10" x14ac:dyDescent="0.2">
      <c r="A22" s="2">
        <v>21</v>
      </c>
      <c r="B22" s="2" t="s">
        <v>37</v>
      </c>
      <c r="C22" s="2" t="s">
        <v>14</v>
      </c>
      <c r="D22" s="3">
        <f>SUMIFS('Ingredient Costing'!$M$2:$M$559,'Ingredient Costing'!$A$2:$A$559,$B22)</f>
        <v>91.996425000000016</v>
      </c>
      <c r="E22" s="2">
        <f>SUMIFS('Ingredient Costing'!$L$2:$L$559,'Ingredient Costing'!$A$2:$A$559,$B22)</f>
        <v>256.84000000000003</v>
      </c>
      <c r="F22" s="2">
        <f>COUNTIFS('Ingredient Costing'!$A$2:$A$559,$B22,'Ingredient Costing'!$D$2:$D$559,"Costed")+COUNTIFS('Ingredient Costing'!$A$2:$A$559,$B22,'Ingredient Costing'!$D$2:$D$559,"Substitute")+COUNTIFS('Ingredient Costing'!$A$2:$A$559,$B22,'Ingredient Costing'!$D$2:$D$559,"Uses 5 Veg Mince")</f>
        <v>7</v>
      </c>
      <c r="G22" s="2">
        <f>SUMPRODUCT(('Ingredient Costing'!$A$2:$A$559=$B22)*(('Ingredient Costing'!$D$2:$D$559="Substitute")+(LEFT('Ingredient Costing'!$N$2:$N$559,16)="Amount not given")&gt;0))</f>
        <v>4</v>
      </c>
      <c r="H22" s="2">
        <f>COUNTIFS('Ingredient Costing'!$A$2:$A$559,$B22,'Ingredient Costing'!$D$2:$D$559,"Not at Woolworths")</f>
        <v>0</v>
      </c>
      <c r="I22" s="2">
        <f>COUNTIFS('Ingredient Costing'!$A$2:$A$559,$B22,'Ingredient Costing'!$D$2:$D$559,"Basic - not costed")</f>
        <v>1</v>
      </c>
      <c r="J22" s="4" t="s">
        <v>12</v>
      </c>
    </row>
    <row r="23" spans="1:10" x14ac:dyDescent="0.2">
      <c r="A23" s="5">
        <v>22</v>
      </c>
      <c r="B23" s="5" t="s">
        <v>38</v>
      </c>
      <c r="C23" s="5" t="s">
        <v>11</v>
      </c>
      <c r="D23" s="6">
        <f>SUMIFS('Ingredient Costing'!$M$2:$M$559,'Ingredient Costing'!$A$2:$A$559,$B23)</f>
        <v>200.89106666666669</v>
      </c>
      <c r="E23" s="5">
        <f>SUMIFS('Ingredient Costing'!$L$2:$L$559,'Ingredient Costing'!$A$2:$A$559,$B23)</f>
        <v>459.85</v>
      </c>
      <c r="F23" s="5">
        <f>COUNTIFS('Ingredient Costing'!$A$2:$A$559,$B23,'Ingredient Costing'!$D$2:$D$559,"Costed")+COUNTIFS('Ingredient Costing'!$A$2:$A$559,$B23,'Ingredient Costing'!$D$2:$D$559,"Substitute")+COUNTIFS('Ingredient Costing'!$A$2:$A$559,$B23,'Ingredient Costing'!$D$2:$D$559,"Uses 5 Veg Mince")</f>
        <v>7</v>
      </c>
      <c r="G23" s="5">
        <f>SUMPRODUCT(('Ingredient Costing'!$A$2:$A$559=$B23)*(('Ingredient Costing'!$D$2:$D$559="Substitute")+(LEFT('Ingredient Costing'!$N$2:$N$559,16)="Amount not given")&gt;0))</f>
        <v>1</v>
      </c>
      <c r="H23" s="5">
        <f>COUNTIFS('Ingredient Costing'!$A$2:$A$559,$B23,'Ingredient Costing'!$D$2:$D$559,"Not at Woolworths")</f>
        <v>0</v>
      </c>
      <c r="I23" s="5">
        <f>COUNTIFS('Ingredient Costing'!$A$2:$A$559,$B23,'Ingredient Costing'!$D$2:$D$559,"Basic - not costed")</f>
        <v>0</v>
      </c>
      <c r="J23" s="7" t="s">
        <v>12</v>
      </c>
    </row>
    <row r="24" spans="1:10" x14ac:dyDescent="0.2">
      <c r="A24" s="2">
        <v>23</v>
      </c>
      <c r="B24" s="2" t="s">
        <v>39</v>
      </c>
      <c r="C24" s="2" t="s">
        <v>11</v>
      </c>
      <c r="D24" s="3">
        <f>SUMIFS('Ingredient Costing'!$M$2:$M$559,'Ingredient Costing'!$A$2:$A$559,$B24)</f>
        <v>186.48099999999999</v>
      </c>
      <c r="E24" s="2">
        <f>SUMIFS('Ingredient Costing'!$L$2:$L$559,'Ingredient Costing'!$A$2:$A$559,$B24)</f>
        <v>275.46000000000004</v>
      </c>
      <c r="F24" s="2">
        <f>COUNTIFS('Ingredient Costing'!$A$2:$A$559,$B24,'Ingredient Costing'!$D$2:$D$559,"Costed")+COUNTIFS('Ingredient Costing'!$A$2:$A$559,$B24,'Ingredient Costing'!$D$2:$D$559,"Substitute")+COUNTIFS('Ingredient Costing'!$A$2:$A$559,$B24,'Ingredient Costing'!$D$2:$D$559,"Uses 5 Veg Mince")</f>
        <v>5</v>
      </c>
      <c r="G24" s="2">
        <f>SUMPRODUCT(('Ingredient Costing'!$A$2:$A$559=$B24)*(('Ingredient Costing'!$D$2:$D$559="Substitute")+(LEFT('Ingredient Costing'!$N$2:$N$559,16)="Amount not given")&gt;0))</f>
        <v>5</v>
      </c>
      <c r="H24" s="2">
        <f>COUNTIFS('Ingredient Costing'!$A$2:$A$559,$B24,'Ingredient Costing'!$D$2:$D$559,"Not at Woolworths")</f>
        <v>0</v>
      </c>
      <c r="I24" s="2">
        <f>COUNTIFS('Ingredient Costing'!$A$2:$A$559,$B24,'Ingredient Costing'!$D$2:$D$559,"Basic - not costed")</f>
        <v>0</v>
      </c>
      <c r="J24" s="4" t="s">
        <v>12</v>
      </c>
    </row>
    <row r="25" spans="1:10" x14ac:dyDescent="0.2">
      <c r="A25" s="5">
        <v>24</v>
      </c>
      <c r="B25" s="5" t="s">
        <v>40</v>
      </c>
      <c r="C25" s="5" t="s">
        <v>11</v>
      </c>
      <c r="D25" s="6">
        <f>SUMIFS('Ingredient Costing'!$M$2:$M$559,'Ingredient Costing'!$A$2:$A$559,$B25)</f>
        <v>202.97219999999999</v>
      </c>
      <c r="E25" s="5">
        <f>SUMIFS('Ingredient Costing'!$L$2:$L$559,'Ingredient Costing'!$A$2:$A$559,$B25)</f>
        <v>246.96</v>
      </c>
      <c r="F25" s="5">
        <f>COUNTIFS('Ingredient Costing'!$A$2:$A$559,$B25,'Ingredient Costing'!$D$2:$D$559,"Costed")+COUNTIFS('Ingredient Costing'!$A$2:$A$559,$B25,'Ingredient Costing'!$D$2:$D$559,"Substitute")+COUNTIFS('Ingredient Costing'!$A$2:$A$559,$B25,'Ingredient Costing'!$D$2:$D$559,"Uses 5 Veg Mince")</f>
        <v>4</v>
      </c>
      <c r="G25" s="5">
        <f>SUMPRODUCT(('Ingredient Costing'!$A$2:$A$559=$B25)*(('Ingredient Costing'!$D$2:$D$559="Substitute")+(LEFT('Ingredient Costing'!$N$2:$N$559,16)="Amount not given")&gt;0))</f>
        <v>1</v>
      </c>
      <c r="H25" s="5">
        <f>COUNTIFS('Ingredient Costing'!$A$2:$A$559,$B25,'Ingredient Costing'!$D$2:$D$559,"Not at Woolworths")</f>
        <v>0</v>
      </c>
      <c r="I25" s="5">
        <f>COUNTIFS('Ingredient Costing'!$A$2:$A$559,$B25,'Ingredient Costing'!$D$2:$D$559,"Basic - not costed")</f>
        <v>0</v>
      </c>
      <c r="J25" s="7" t="s">
        <v>12</v>
      </c>
    </row>
    <row r="26" spans="1:10" x14ac:dyDescent="0.2">
      <c r="A26" s="2">
        <v>25</v>
      </c>
      <c r="B26" s="2" t="s">
        <v>41</v>
      </c>
      <c r="C26" s="2" t="s">
        <v>11</v>
      </c>
      <c r="D26" s="3">
        <f>SUMIFS('Ingredient Costing'!$M$2:$M$559,'Ingredient Costing'!$A$2:$A$559,$B26)</f>
        <v>241.96300000000002</v>
      </c>
      <c r="E26" s="2">
        <f>SUMIFS('Ingredient Costing'!$L$2:$L$559,'Ingredient Costing'!$A$2:$A$559,$B26)</f>
        <v>289.95000000000005</v>
      </c>
      <c r="F26" s="2">
        <f>COUNTIFS('Ingredient Costing'!$A$2:$A$559,$B26,'Ingredient Costing'!$D$2:$D$559,"Costed")+COUNTIFS('Ingredient Costing'!$A$2:$A$559,$B26,'Ingredient Costing'!$D$2:$D$559,"Substitute")+COUNTIFS('Ingredient Costing'!$A$2:$A$559,$B26,'Ingredient Costing'!$D$2:$D$559,"Uses 5 Veg Mince")</f>
        <v>5</v>
      </c>
      <c r="G26" s="2">
        <f>SUMPRODUCT(('Ingredient Costing'!$A$2:$A$559=$B26)*(('Ingredient Costing'!$D$2:$D$559="Substitute")+(LEFT('Ingredient Costing'!$N$2:$N$559,16)="Amount not given")&gt;0))</f>
        <v>1</v>
      </c>
      <c r="H26" s="2">
        <f>COUNTIFS('Ingredient Costing'!$A$2:$A$559,$B26,'Ingredient Costing'!$D$2:$D$559,"Not at Woolworths")</f>
        <v>0</v>
      </c>
      <c r="I26" s="2">
        <f>COUNTIFS('Ingredient Costing'!$A$2:$A$559,$B26,'Ingredient Costing'!$D$2:$D$559,"Basic - not costed")</f>
        <v>0</v>
      </c>
      <c r="J26" s="4" t="s">
        <v>12</v>
      </c>
    </row>
    <row r="27" spans="1:10" x14ac:dyDescent="0.2">
      <c r="A27" s="5">
        <v>26</v>
      </c>
      <c r="B27" s="5" t="s">
        <v>42</v>
      </c>
      <c r="C27" s="5" t="s">
        <v>11</v>
      </c>
      <c r="D27" s="6">
        <f>SUMIFS('Ingredient Costing'!$M$2:$M$559,'Ingredient Costing'!$A$2:$A$559,$B27)</f>
        <v>251.53852727272726</v>
      </c>
      <c r="E27" s="5">
        <f>SUMIFS('Ingredient Costing'!$L$2:$L$559,'Ingredient Costing'!$A$2:$A$559,$B27)</f>
        <v>578.7600000000001</v>
      </c>
      <c r="F27" s="5">
        <f>COUNTIFS('Ingredient Costing'!$A$2:$A$559,$B27,'Ingredient Costing'!$D$2:$D$559,"Costed")+COUNTIFS('Ingredient Costing'!$A$2:$A$559,$B27,'Ingredient Costing'!$D$2:$D$559,"Substitute")+COUNTIFS('Ingredient Costing'!$A$2:$A$559,$B27,'Ingredient Costing'!$D$2:$D$559,"Uses 5 Veg Mince")</f>
        <v>12</v>
      </c>
      <c r="G27" s="5">
        <f>SUMPRODUCT(('Ingredient Costing'!$A$2:$A$559=$B27)*(('Ingredient Costing'!$D$2:$D$559="Substitute")+(LEFT('Ingredient Costing'!$N$2:$N$559,16)="Amount not given")&gt;0))</f>
        <v>1</v>
      </c>
      <c r="H27" s="5">
        <f>COUNTIFS('Ingredient Costing'!$A$2:$A$559,$B27,'Ingredient Costing'!$D$2:$D$559,"Not at Woolworths")</f>
        <v>0</v>
      </c>
      <c r="I27" s="5">
        <f>COUNTIFS('Ingredient Costing'!$A$2:$A$559,$B27,'Ingredient Costing'!$D$2:$D$559,"Basic - not costed")</f>
        <v>1</v>
      </c>
      <c r="J27" s="7" t="s">
        <v>12</v>
      </c>
    </row>
    <row r="28" spans="1:10" x14ac:dyDescent="0.2">
      <c r="A28" s="2">
        <v>27</v>
      </c>
      <c r="B28" s="2" t="s">
        <v>43</v>
      </c>
      <c r="C28" s="2" t="s">
        <v>11</v>
      </c>
      <c r="D28" s="3">
        <f>SUMIFS('Ingredient Costing'!$M$2:$M$559,'Ingredient Costing'!$A$2:$A$559,$B28)</f>
        <v>232.56517500000001</v>
      </c>
      <c r="E28" s="2">
        <f>SUMIFS('Ingredient Costing'!$L$2:$L$559,'Ingredient Costing'!$A$2:$A$559,$B28)</f>
        <v>424.83000000000004</v>
      </c>
      <c r="F28" s="2">
        <f>COUNTIFS('Ingredient Costing'!$A$2:$A$559,$B28,'Ingredient Costing'!$D$2:$D$559,"Costed")+COUNTIFS('Ingredient Costing'!$A$2:$A$559,$B28,'Ingredient Costing'!$D$2:$D$559,"Substitute")+COUNTIFS('Ingredient Costing'!$A$2:$A$559,$B28,'Ingredient Costing'!$D$2:$D$559,"Uses 5 Veg Mince")</f>
        <v>8</v>
      </c>
      <c r="G28" s="2">
        <f>SUMPRODUCT(('Ingredient Costing'!$A$2:$A$559=$B28)*(('Ingredient Costing'!$D$2:$D$559="Substitute")+(LEFT('Ingredient Costing'!$N$2:$N$559,16)="Amount not given")&gt;0))</f>
        <v>0</v>
      </c>
      <c r="H28" s="2">
        <f>COUNTIFS('Ingredient Costing'!$A$2:$A$559,$B28,'Ingredient Costing'!$D$2:$D$559,"Not at Woolworths")</f>
        <v>0</v>
      </c>
      <c r="I28" s="2">
        <f>COUNTIFS('Ingredient Costing'!$A$2:$A$559,$B28,'Ingredient Costing'!$D$2:$D$559,"Basic - not costed")</f>
        <v>0</v>
      </c>
      <c r="J28" s="4" t="s">
        <v>12</v>
      </c>
    </row>
    <row r="29" spans="1:10" x14ac:dyDescent="0.2">
      <c r="A29" s="5">
        <v>28</v>
      </c>
      <c r="B29" s="5" t="s">
        <v>44</v>
      </c>
      <c r="C29" s="5" t="s">
        <v>11</v>
      </c>
      <c r="D29" s="6">
        <f>SUMIFS('Ingredient Costing'!$M$2:$M$559,'Ingredient Costing'!$A$2:$A$559,$B29)</f>
        <v>254.16646666666668</v>
      </c>
      <c r="E29" s="5">
        <f>SUMIFS('Ingredient Costing'!$L$2:$L$559,'Ingredient Costing'!$A$2:$A$559,$B29)</f>
        <v>327.95</v>
      </c>
      <c r="F29" s="5">
        <f>COUNTIFS('Ingredient Costing'!$A$2:$A$559,$B29,'Ingredient Costing'!$D$2:$D$559,"Costed")+COUNTIFS('Ingredient Costing'!$A$2:$A$559,$B29,'Ingredient Costing'!$D$2:$D$559,"Substitute")+COUNTIFS('Ingredient Costing'!$A$2:$A$559,$B29,'Ingredient Costing'!$D$2:$D$559,"Uses 5 Veg Mince")</f>
        <v>5</v>
      </c>
      <c r="G29" s="5">
        <f>SUMPRODUCT(('Ingredient Costing'!$A$2:$A$559=$B29)*(('Ingredient Costing'!$D$2:$D$559="Substitute")+(LEFT('Ingredient Costing'!$N$2:$N$559,16)="Amount not given")&gt;0))</f>
        <v>1</v>
      </c>
      <c r="H29" s="5">
        <f>COUNTIFS('Ingredient Costing'!$A$2:$A$559,$B29,'Ingredient Costing'!$D$2:$D$559,"Not at Woolworths")</f>
        <v>0</v>
      </c>
      <c r="I29" s="5">
        <f>COUNTIFS('Ingredient Costing'!$A$2:$A$559,$B29,'Ingredient Costing'!$D$2:$D$559,"Basic - not costed")</f>
        <v>0</v>
      </c>
      <c r="J29" s="7" t="s">
        <v>12</v>
      </c>
    </row>
    <row r="30" spans="1:10" x14ac:dyDescent="0.2">
      <c r="A30" s="2">
        <v>29</v>
      </c>
      <c r="B30" s="2" t="s">
        <v>45</v>
      </c>
      <c r="C30" s="2" t="s">
        <v>17</v>
      </c>
      <c r="D30" s="3">
        <f>SUMIFS('Ingredient Costing'!$M$2:$M$559,'Ingredient Costing'!$A$2:$A$559,$B30)</f>
        <v>690.59296666666671</v>
      </c>
      <c r="E30" s="2">
        <f>SUMIFS('Ingredient Costing'!$L$2:$L$559,'Ingredient Costing'!$A$2:$A$559,$B30)</f>
        <v>883.84</v>
      </c>
      <c r="F30" s="2">
        <f>COUNTIFS('Ingredient Costing'!$A$2:$A$559,$B30,'Ingredient Costing'!$D$2:$D$559,"Costed")+COUNTIFS('Ingredient Costing'!$A$2:$A$559,$B30,'Ingredient Costing'!$D$2:$D$559,"Substitute")+COUNTIFS('Ingredient Costing'!$A$2:$A$559,$B30,'Ingredient Costing'!$D$2:$D$559,"Uses 5 Veg Mince")</f>
        <v>13</v>
      </c>
      <c r="G30" s="2">
        <f>SUMPRODUCT(('Ingredient Costing'!$A$2:$A$559=$B30)*(('Ingredient Costing'!$D$2:$D$559="Substitute")+(LEFT('Ingredient Costing'!$N$2:$N$559,16)="Amount not given")&gt;0))</f>
        <v>1</v>
      </c>
      <c r="H30" s="2">
        <f>COUNTIFS('Ingredient Costing'!$A$2:$A$559,$B30,'Ingredient Costing'!$D$2:$D$559,"Not at Woolworths")</f>
        <v>0</v>
      </c>
      <c r="I30" s="2">
        <f>COUNTIFS('Ingredient Costing'!$A$2:$A$559,$B30,'Ingredient Costing'!$D$2:$D$559,"Basic - not costed")</f>
        <v>1</v>
      </c>
      <c r="J30" s="4" t="s">
        <v>12</v>
      </c>
    </row>
    <row r="31" spans="1:10" x14ac:dyDescent="0.2">
      <c r="A31" s="5">
        <v>30</v>
      </c>
      <c r="B31" s="5" t="s">
        <v>46</v>
      </c>
      <c r="C31" s="5" t="s">
        <v>22</v>
      </c>
      <c r="D31" s="6">
        <f>SUMIFS('Ingredient Costing'!$M$2:$M$559,'Ingredient Costing'!$A$2:$A$559,$B31)</f>
        <v>93.299999999999983</v>
      </c>
      <c r="E31" s="5">
        <f>SUMIFS('Ingredient Costing'!$L$2:$L$559,'Ingredient Costing'!$A$2:$A$559,$B31)</f>
        <v>111.96</v>
      </c>
      <c r="F31" s="5">
        <f>COUNTIFS('Ingredient Costing'!$A$2:$A$559,$B31,'Ingredient Costing'!$D$2:$D$559,"Costed")+COUNTIFS('Ingredient Costing'!$A$2:$A$559,$B31,'Ingredient Costing'!$D$2:$D$559,"Substitute")+COUNTIFS('Ingredient Costing'!$A$2:$A$559,$B31,'Ingredient Costing'!$D$2:$D$559,"Uses 5 Veg Mince")</f>
        <v>2</v>
      </c>
      <c r="G31" s="5">
        <f>SUMPRODUCT(('Ingredient Costing'!$A$2:$A$559=$B31)*(('Ingredient Costing'!$D$2:$D$559="Substitute")+(LEFT('Ingredient Costing'!$N$2:$N$559,16)="Amount not given")&gt;0))</f>
        <v>2</v>
      </c>
      <c r="H31" s="5">
        <f>COUNTIFS('Ingredient Costing'!$A$2:$A$559,$B31,'Ingredient Costing'!$D$2:$D$559,"Not at Woolworths")</f>
        <v>0</v>
      </c>
      <c r="I31" s="5">
        <f>COUNTIFS('Ingredient Costing'!$A$2:$A$559,$B31,'Ingredient Costing'!$D$2:$D$559,"Basic - not costed")</f>
        <v>1</v>
      </c>
      <c r="J31" s="7" t="s">
        <v>12</v>
      </c>
    </row>
    <row r="32" spans="1:10" x14ac:dyDescent="0.2">
      <c r="A32" s="2">
        <v>31</v>
      </c>
      <c r="B32" s="2" t="s">
        <v>47</v>
      </c>
      <c r="C32" s="2" t="s">
        <v>48</v>
      </c>
      <c r="D32" s="3">
        <f>SUMIFS('Ingredient Costing'!$M$2:$M$559,'Ingredient Costing'!$A$2:$A$559,$B32)</f>
        <v>75.120800000000003</v>
      </c>
      <c r="E32" s="2">
        <f>SUMIFS('Ingredient Costing'!$L$2:$L$559,'Ingredient Costing'!$A$2:$A$559,$B32)</f>
        <v>234.95</v>
      </c>
      <c r="F32" s="2">
        <f>COUNTIFS('Ingredient Costing'!$A$2:$A$559,$B32,'Ingredient Costing'!$D$2:$D$559,"Costed")+COUNTIFS('Ingredient Costing'!$A$2:$A$559,$B32,'Ingredient Costing'!$D$2:$D$559,"Substitute")+COUNTIFS('Ingredient Costing'!$A$2:$A$559,$B32,'Ingredient Costing'!$D$2:$D$559,"Uses 5 Veg Mince")</f>
        <v>5</v>
      </c>
      <c r="G32" s="2">
        <f>SUMPRODUCT(('Ingredient Costing'!$A$2:$A$559=$B32)*(('Ingredient Costing'!$D$2:$D$559="Substitute")+(LEFT('Ingredient Costing'!$N$2:$N$559,16)="Amount not given")&gt;0))</f>
        <v>5</v>
      </c>
      <c r="H32" s="2">
        <f>COUNTIFS('Ingredient Costing'!$A$2:$A$559,$B32,'Ingredient Costing'!$D$2:$D$559,"Not at Woolworths")</f>
        <v>0</v>
      </c>
      <c r="I32" s="2">
        <f>COUNTIFS('Ingredient Costing'!$A$2:$A$559,$B32,'Ingredient Costing'!$D$2:$D$559,"Basic - not costed")</f>
        <v>0</v>
      </c>
      <c r="J32" s="4" t="s">
        <v>12</v>
      </c>
    </row>
    <row r="33" spans="1:10" x14ac:dyDescent="0.2">
      <c r="A33" s="5">
        <v>32</v>
      </c>
      <c r="B33" s="5" t="s">
        <v>49</v>
      </c>
      <c r="C33" s="5" t="s">
        <v>50</v>
      </c>
      <c r="D33" s="6">
        <f>SUMIFS('Ingredient Costing'!$M$2:$M$559,'Ingredient Costing'!$A$2:$A$559,$B33)</f>
        <v>244.93038571428573</v>
      </c>
      <c r="E33" s="5">
        <f>SUMIFS('Ingredient Costing'!$L$2:$L$559,'Ingredient Costing'!$A$2:$A$559,$B33)</f>
        <v>393.78000000000009</v>
      </c>
      <c r="F33" s="5">
        <f>COUNTIFS('Ingredient Costing'!$A$2:$A$559,$B33,'Ingredient Costing'!$D$2:$D$559,"Costed")+COUNTIFS('Ingredient Costing'!$A$2:$A$559,$B33,'Ingredient Costing'!$D$2:$D$559,"Substitute")+COUNTIFS('Ingredient Costing'!$A$2:$A$559,$B33,'Ingredient Costing'!$D$2:$D$559,"Uses 5 Veg Mince")</f>
        <v>10</v>
      </c>
      <c r="G33" s="5">
        <f>SUMPRODUCT(('Ingredient Costing'!$A$2:$A$559=$B33)*(('Ingredient Costing'!$D$2:$D$559="Substitute")+(LEFT('Ingredient Costing'!$N$2:$N$559,16)="Amount not given")&gt;0))</f>
        <v>1</v>
      </c>
      <c r="H33" s="5">
        <f>COUNTIFS('Ingredient Costing'!$A$2:$A$559,$B33,'Ingredient Costing'!$D$2:$D$559,"Not at Woolworths")</f>
        <v>0</v>
      </c>
      <c r="I33" s="5">
        <f>COUNTIFS('Ingredient Costing'!$A$2:$A$559,$B33,'Ingredient Costing'!$D$2:$D$559,"Basic - not costed")</f>
        <v>1</v>
      </c>
      <c r="J33" s="7" t="s">
        <v>12</v>
      </c>
    </row>
    <row r="34" spans="1:10" x14ac:dyDescent="0.2">
      <c r="A34" s="2">
        <v>33</v>
      </c>
      <c r="B34" s="2" t="s">
        <v>51</v>
      </c>
      <c r="C34" s="2" t="s">
        <v>14</v>
      </c>
      <c r="D34" s="3">
        <f>SUMIFS('Ingredient Costing'!$M$2:$M$559,'Ingredient Costing'!$A$2:$A$559,$B34)</f>
        <v>72.63336000000001</v>
      </c>
      <c r="E34" s="2">
        <f>SUMIFS('Ingredient Costing'!$L$2:$L$559,'Ingredient Costing'!$A$2:$A$559,$B34)</f>
        <v>328.96000000000004</v>
      </c>
      <c r="F34" s="2">
        <f>COUNTIFS('Ingredient Costing'!$A$2:$A$559,$B34,'Ingredient Costing'!$D$2:$D$559,"Costed")+COUNTIFS('Ingredient Costing'!$A$2:$A$559,$B34,'Ingredient Costing'!$D$2:$D$559,"Substitute")+COUNTIFS('Ingredient Costing'!$A$2:$A$559,$B34,'Ingredient Costing'!$D$2:$D$559,"Uses 5 Veg Mince")</f>
        <v>4</v>
      </c>
      <c r="G34" s="2">
        <f>SUMPRODUCT(('Ingredient Costing'!$A$2:$A$559=$B34)*(('Ingredient Costing'!$D$2:$D$559="Substitute")+(LEFT('Ingredient Costing'!$N$2:$N$559,16)="Amount not given")&gt;0))</f>
        <v>2</v>
      </c>
      <c r="H34" s="2">
        <f>COUNTIFS('Ingredient Costing'!$A$2:$A$559,$B34,'Ingredient Costing'!$D$2:$D$559,"Not at Woolworths")</f>
        <v>0</v>
      </c>
      <c r="I34" s="2">
        <f>COUNTIFS('Ingredient Costing'!$A$2:$A$559,$B34,'Ingredient Costing'!$D$2:$D$559,"Basic - not costed")</f>
        <v>1</v>
      </c>
      <c r="J34" s="4" t="s">
        <v>12</v>
      </c>
    </row>
    <row r="35" spans="1:10" x14ac:dyDescent="0.2">
      <c r="A35" s="5">
        <v>34</v>
      </c>
      <c r="B35" s="5" t="s">
        <v>52</v>
      </c>
      <c r="C35" s="5" t="s">
        <v>14</v>
      </c>
      <c r="D35" s="6">
        <f>SUMIFS('Ingredient Costing'!$M$2:$M$559,'Ingredient Costing'!$A$2:$A$559,$B35)</f>
        <v>103.57083333333333</v>
      </c>
      <c r="E35" s="5">
        <f>SUMIFS('Ingredient Costing'!$L$2:$L$559,'Ingredient Costing'!$A$2:$A$559,$B35)</f>
        <v>148.89000000000001</v>
      </c>
      <c r="F35" s="5">
        <f>COUNTIFS('Ingredient Costing'!$A$2:$A$559,$B35,'Ingredient Costing'!$D$2:$D$559,"Costed")+COUNTIFS('Ingredient Costing'!$A$2:$A$559,$B35,'Ingredient Costing'!$D$2:$D$559,"Substitute")+COUNTIFS('Ingredient Costing'!$A$2:$A$559,$B35,'Ingredient Costing'!$D$2:$D$559,"Uses 5 Veg Mince")</f>
        <v>5</v>
      </c>
      <c r="G35" s="5">
        <f>SUMPRODUCT(('Ingredient Costing'!$A$2:$A$559=$B35)*(('Ingredient Costing'!$D$2:$D$559="Substitute")+(LEFT('Ingredient Costing'!$N$2:$N$559,16)="Amount not given")&gt;0))</f>
        <v>3</v>
      </c>
      <c r="H35" s="5">
        <f>COUNTIFS('Ingredient Costing'!$A$2:$A$559,$B35,'Ingredient Costing'!$D$2:$D$559,"Not at Woolworths")</f>
        <v>0</v>
      </c>
      <c r="I35" s="5">
        <f>COUNTIFS('Ingredient Costing'!$A$2:$A$559,$B35,'Ingredient Costing'!$D$2:$D$559,"Basic - not costed")</f>
        <v>1</v>
      </c>
      <c r="J35" s="7" t="s">
        <v>12</v>
      </c>
    </row>
    <row r="36" spans="1:10" x14ac:dyDescent="0.2">
      <c r="A36" s="2">
        <v>35</v>
      </c>
      <c r="B36" s="2" t="s">
        <v>53</v>
      </c>
      <c r="C36" s="2" t="s">
        <v>54</v>
      </c>
      <c r="D36" s="3">
        <f>SUMIFS('Ingredient Costing'!$M$2:$M$559,'Ingredient Costing'!$A$2:$A$559,$B36)</f>
        <v>111.0733</v>
      </c>
      <c r="E36" s="2">
        <f>SUMIFS('Ingredient Costing'!$L$2:$L$559,'Ingredient Costing'!$A$2:$A$559,$B36)</f>
        <v>303.58000000000004</v>
      </c>
      <c r="F36" s="2">
        <f>COUNTIFS('Ingredient Costing'!$A$2:$A$559,$B36,'Ingredient Costing'!$D$2:$D$559,"Costed")+COUNTIFS('Ingredient Costing'!$A$2:$A$559,$B36,'Ingredient Costing'!$D$2:$D$559,"Substitute")+COUNTIFS('Ingredient Costing'!$A$2:$A$559,$B36,'Ingredient Costing'!$D$2:$D$559,"Uses 5 Veg Mince")</f>
        <v>9</v>
      </c>
      <c r="G36" s="2">
        <f>SUMPRODUCT(('Ingredient Costing'!$A$2:$A$559=$B36)*(('Ingredient Costing'!$D$2:$D$559="Substitute")+(LEFT('Ingredient Costing'!$N$2:$N$559,16)="Amount not given")&gt;0))</f>
        <v>6</v>
      </c>
      <c r="H36" s="2">
        <f>COUNTIFS('Ingredient Costing'!$A$2:$A$559,$B36,'Ingredient Costing'!$D$2:$D$559,"Not at Woolworths")</f>
        <v>0</v>
      </c>
      <c r="I36" s="2">
        <f>COUNTIFS('Ingredient Costing'!$A$2:$A$559,$B36,'Ingredient Costing'!$D$2:$D$559,"Basic - not costed")</f>
        <v>1</v>
      </c>
      <c r="J36" s="4" t="s">
        <v>12</v>
      </c>
    </row>
    <row r="37" spans="1:10" x14ac:dyDescent="0.2">
      <c r="A37" s="5">
        <v>36</v>
      </c>
      <c r="B37" s="5" t="s">
        <v>55</v>
      </c>
      <c r="C37" s="5" t="s">
        <v>48</v>
      </c>
      <c r="D37" s="6">
        <f>SUMIFS('Ingredient Costing'!$M$2:$M$559,'Ingredient Costing'!$A$2:$A$559,$B37)</f>
        <v>88.058271515151503</v>
      </c>
      <c r="E37" s="5">
        <f>SUMIFS('Ingredient Costing'!$L$2:$L$559,'Ingredient Costing'!$A$2:$A$559,$B37)</f>
        <v>412.89000000000004</v>
      </c>
      <c r="F37" s="5">
        <f>COUNTIFS('Ingredient Costing'!$A$2:$A$559,$B37,'Ingredient Costing'!$D$2:$D$559,"Costed")+COUNTIFS('Ingredient Costing'!$A$2:$A$559,$B37,'Ingredient Costing'!$D$2:$D$559,"Substitute")+COUNTIFS('Ingredient Costing'!$A$2:$A$559,$B37,'Ingredient Costing'!$D$2:$D$559,"Uses 5 Veg Mince")</f>
        <v>12</v>
      </c>
      <c r="G37" s="5">
        <f>SUMPRODUCT(('Ingredient Costing'!$A$2:$A$559=$B37)*(('Ingredient Costing'!$D$2:$D$559="Substitute")+(LEFT('Ingredient Costing'!$N$2:$N$559,16)="Amount not given")&gt;0))</f>
        <v>1</v>
      </c>
      <c r="H37" s="5">
        <f>COUNTIFS('Ingredient Costing'!$A$2:$A$559,$B37,'Ingredient Costing'!$D$2:$D$559,"Not at Woolworths")</f>
        <v>0</v>
      </c>
      <c r="I37" s="5">
        <f>COUNTIFS('Ingredient Costing'!$A$2:$A$559,$B37,'Ingredient Costing'!$D$2:$D$559,"Basic - not costed")</f>
        <v>1</v>
      </c>
      <c r="J37" s="7" t="s">
        <v>12</v>
      </c>
    </row>
    <row r="38" spans="1:10" x14ac:dyDescent="0.2">
      <c r="A38" s="2">
        <v>37</v>
      </c>
      <c r="B38" s="2" t="s">
        <v>56</v>
      </c>
      <c r="C38" s="2" t="s">
        <v>50</v>
      </c>
      <c r="D38" s="3">
        <f>SUMIFS('Ingredient Costing'!$M$2:$M$559,'Ingredient Costing'!$A$2:$A$559,$B38)</f>
        <v>73.253366666666679</v>
      </c>
      <c r="E38" s="2">
        <f>SUMIFS('Ingredient Costing'!$L$2:$L$559,'Ingredient Costing'!$A$2:$A$559,$B38)</f>
        <v>426.89000000000004</v>
      </c>
      <c r="F38" s="2">
        <f>COUNTIFS('Ingredient Costing'!$A$2:$A$559,$B38,'Ingredient Costing'!$D$2:$D$559,"Costed")+COUNTIFS('Ingredient Costing'!$A$2:$A$559,$B38,'Ingredient Costing'!$D$2:$D$559,"Substitute")+COUNTIFS('Ingredient Costing'!$A$2:$A$559,$B38,'Ingredient Costing'!$D$2:$D$559,"Uses 5 Veg Mince")</f>
        <v>11</v>
      </c>
      <c r="G38" s="2">
        <f>SUMPRODUCT(('Ingredient Costing'!$A$2:$A$559=$B38)*(('Ingredient Costing'!$D$2:$D$559="Substitute")+(LEFT('Ingredient Costing'!$N$2:$N$559,16)="Amount not given")&gt;0))</f>
        <v>1</v>
      </c>
      <c r="H38" s="2">
        <f>COUNTIFS('Ingredient Costing'!$A$2:$A$559,$B38,'Ingredient Costing'!$D$2:$D$559,"Not at Woolworths")</f>
        <v>0</v>
      </c>
      <c r="I38" s="2">
        <f>COUNTIFS('Ingredient Costing'!$A$2:$A$559,$B38,'Ingredient Costing'!$D$2:$D$559,"Basic - not costed")</f>
        <v>0</v>
      </c>
      <c r="J38" s="4" t="s">
        <v>12</v>
      </c>
    </row>
    <row r="39" spans="1:10" x14ac:dyDescent="0.2">
      <c r="A39" s="5">
        <v>38</v>
      </c>
      <c r="B39" s="5" t="s">
        <v>57</v>
      </c>
      <c r="C39" s="5" t="s">
        <v>11</v>
      </c>
      <c r="D39" s="6">
        <f>SUMIFS('Ingredient Costing'!$M$2:$M$559,'Ingredient Costing'!$A$2:$A$559,$B39)</f>
        <v>283.7864151515152</v>
      </c>
      <c r="E39" s="5">
        <f>SUMIFS('Ingredient Costing'!$L$2:$L$559,'Ingredient Costing'!$A$2:$A$559,$B39)</f>
        <v>643.74000000000012</v>
      </c>
      <c r="F39" s="5">
        <f>COUNTIFS('Ingredient Costing'!$A$2:$A$559,$B39,'Ingredient Costing'!$D$2:$D$559,"Costed")+COUNTIFS('Ingredient Costing'!$A$2:$A$559,$B39,'Ingredient Costing'!$D$2:$D$559,"Substitute")+COUNTIFS('Ingredient Costing'!$A$2:$A$559,$B39,'Ingredient Costing'!$D$2:$D$559,"Uses 5 Veg Mince")</f>
        <v>17</v>
      </c>
      <c r="G39" s="5">
        <f>SUMPRODUCT(('Ingredient Costing'!$A$2:$A$559=$B39)*(('Ingredient Costing'!$D$2:$D$559="Substitute")+(LEFT('Ingredient Costing'!$N$2:$N$559,16)="Amount not given")&gt;0))</f>
        <v>2</v>
      </c>
      <c r="H39" s="5">
        <f>COUNTIFS('Ingredient Costing'!$A$2:$A$559,$B39,'Ingredient Costing'!$D$2:$D$559,"Not at Woolworths")</f>
        <v>0</v>
      </c>
      <c r="I39" s="5">
        <f>COUNTIFS('Ingredient Costing'!$A$2:$A$559,$B39,'Ingredient Costing'!$D$2:$D$559,"Basic - not costed")</f>
        <v>0</v>
      </c>
      <c r="J39" s="7" t="s">
        <v>12</v>
      </c>
    </row>
    <row r="40" spans="1:10" x14ac:dyDescent="0.2">
      <c r="A40" s="2">
        <v>39</v>
      </c>
      <c r="B40" s="2" t="s">
        <v>58</v>
      </c>
      <c r="C40" s="2" t="s">
        <v>11</v>
      </c>
      <c r="D40" s="3">
        <f>SUMIFS('Ingredient Costing'!$M$2:$M$559,'Ingredient Costing'!$A$2:$A$559,$B40)</f>
        <v>207.07778000000002</v>
      </c>
      <c r="E40" s="2">
        <f>SUMIFS('Ingredient Costing'!$L$2:$L$559,'Ingredient Costing'!$A$2:$A$559,$B40)</f>
        <v>671.88000000000011</v>
      </c>
      <c r="F40" s="2">
        <f>COUNTIFS('Ingredient Costing'!$A$2:$A$559,$B40,'Ingredient Costing'!$D$2:$D$559,"Costed")+COUNTIFS('Ingredient Costing'!$A$2:$A$559,$B40,'Ingredient Costing'!$D$2:$D$559,"Substitute")+COUNTIFS('Ingredient Costing'!$A$2:$A$559,$B40,'Ingredient Costing'!$D$2:$D$559,"Uses 5 Veg Mince")</f>
        <v>12</v>
      </c>
      <c r="G40" s="2">
        <f>SUMPRODUCT(('Ingredient Costing'!$A$2:$A$559=$B40)*(('Ingredient Costing'!$D$2:$D$559="Substitute")+(LEFT('Ingredient Costing'!$N$2:$N$559,16)="Amount not given")&gt;0))</f>
        <v>3</v>
      </c>
      <c r="H40" s="2">
        <f>COUNTIFS('Ingredient Costing'!$A$2:$A$559,$B40,'Ingredient Costing'!$D$2:$D$559,"Not at Woolworths")</f>
        <v>0</v>
      </c>
      <c r="I40" s="2">
        <f>COUNTIFS('Ingredient Costing'!$A$2:$A$559,$B40,'Ingredient Costing'!$D$2:$D$559,"Basic - not costed")</f>
        <v>1</v>
      </c>
      <c r="J40" s="4" t="s">
        <v>12</v>
      </c>
    </row>
    <row r="41" spans="1:10" x14ac:dyDescent="0.2">
      <c r="A41" s="5">
        <v>40</v>
      </c>
      <c r="B41" s="5" t="s">
        <v>59</v>
      </c>
      <c r="C41" s="5" t="s">
        <v>14</v>
      </c>
      <c r="D41" s="6">
        <f>SUMIFS('Ingredient Costing'!$M$2:$M$559,'Ingredient Costing'!$A$2:$A$559,$B41)</f>
        <v>248.12929021276597</v>
      </c>
      <c r="E41" s="5">
        <f>SUMIFS('Ingredient Costing'!$L$2:$L$559,'Ingredient Costing'!$A$2:$A$559,$B41)</f>
        <v>629.89</v>
      </c>
      <c r="F41" s="5">
        <f>COUNTIFS('Ingredient Costing'!$A$2:$A$559,$B41,'Ingredient Costing'!$D$2:$D$559,"Costed")+COUNTIFS('Ingredient Costing'!$A$2:$A$559,$B41,'Ingredient Costing'!$D$2:$D$559,"Substitute")+COUNTIFS('Ingredient Costing'!$A$2:$A$559,$B41,'Ingredient Costing'!$D$2:$D$559,"Uses 5 Veg Mince")</f>
        <v>12</v>
      </c>
      <c r="G41" s="5">
        <f>SUMPRODUCT(('Ingredient Costing'!$A$2:$A$559=$B41)*(('Ingredient Costing'!$D$2:$D$559="Substitute")+(LEFT('Ingredient Costing'!$N$2:$N$559,16)="Amount not given")&gt;0))</f>
        <v>2</v>
      </c>
      <c r="H41" s="5">
        <f>COUNTIFS('Ingredient Costing'!$A$2:$A$559,$B41,'Ingredient Costing'!$D$2:$D$559,"Not at Woolworths")</f>
        <v>0</v>
      </c>
      <c r="I41" s="5">
        <f>COUNTIFS('Ingredient Costing'!$A$2:$A$559,$B41,'Ingredient Costing'!$D$2:$D$559,"Basic - not costed")</f>
        <v>1</v>
      </c>
      <c r="J41" s="7" t="s">
        <v>12</v>
      </c>
    </row>
    <row r="42" spans="1:10" x14ac:dyDescent="0.2">
      <c r="A42" s="2">
        <v>41</v>
      </c>
      <c r="B42" s="2" t="s">
        <v>60</v>
      </c>
      <c r="C42" s="2" t="s">
        <v>22</v>
      </c>
      <c r="D42" s="3">
        <f>SUMIFS('Ingredient Costing'!$M$2:$M$559,'Ingredient Costing'!$A$2:$A$559,$B42)</f>
        <v>30.908121212121213</v>
      </c>
      <c r="E42" s="2">
        <f>SUMIFS('Ingredient Costing'!$L$2:$L$559,'Ingredient Costing'!$A$2:$A$559,$B42)</f>
        <v>258.94</v>
      </c>
      <c r="F42" s="2">
        <f>COUNTIFS('Ingredient Costing'!$A$2:$A$559,$B42,'Ingredient Costing'!$D$2:$D$559,"Costed")+COUNTIFS('Ingredient Costing'!$A$2:$A$559,$B42,'Ingredient Costing'!$D$2:$D$559,"Substitute")+COUNTIFS('Ingredient Costing'!$A$2:$A$559,$B42,'Ingredient Costing'!$D$2:$D$559,"Uses 5 Veg Mince")</f>
        <v>6</v>
      </c>
      <c r="G42" s="2">
        <f>SUMPRODUCT(('Ingredient Costing'!$A$2:$A$559=$B42)*(('Ingredient Costing'!$D$2:$D$559="Substitute")+(LEFT('Ingredient Costing'!$N$2:$N$559,16)="Amount not given")&gt;0))</f>
        <v>0</v>
      </c>
      <c r="H42" s="2">
        <f>COUNTIFS('Ingredient Costing'!$A$2:$A$559,$B42,'Ingredient Costing'!$D$2:$D$559,"Not at Woolworths")</f>
        <v>1</v>
      </c>
      <c r="I42" s="2">
        <f>COUNTIFS('Ingredient Costing'!$A$2:$A$559,$B42,'Ingredient Costing'!$D$2:$D$559,"Basic - not costed")</f>
        <v>1</v>
      </c>
      <c r="J42" s="4" t="s">
        <v>12</v>
      </c>
    </row>
    <row r="43" spans="1:10" x14ac:dyDescent="0.2">
      <c r="A43" s="5">
        <v>42</v>
      </c>
      <c r="B43" s="5" t="s">
        <v>61</v>
      </c>
      <c r="C43" s="5" t="s">
        <v>11</v>
      </c>
      <c r="D43" s="6">
        <f>SUMIFS('Ingredient Costing'!$M$2:$M$559,'Ingredient Costing'!$A$2:$A$559,$B43)</f>
        <v>169.06483191489363</v>
      </c>
      <c r="E43" s="5">
        <f>SUMIFS('Ingredient Costing'!$L$2:$L$559,'Ingredient Costing'!$A$2:$A$559,$B43)</f>
        <v>429.74000000000007</v>
      </c>
      <c r="F43" s="5">
        <f>COUNTIFS('Ingredient Costing'!$A$2:$A$559,$B43,'Ingredient Costing'!$D$2:$D$559,"Costed")+COUNTIFS('Ingredient Costing'!$A$2:$A$559,$B43,'Ingredient Costing'!$D$2:$D$559,"Substitute")+COUNTIFS('Ingredient Costing'!$A$2:$A$559,$B43,'Ingredient Costing'!$D$2:$D$559,"Uses 5 Veg Mince")</f>
        <v>11</v>
      </c>
      <c r="G43" s="5">
        <f>SUMPRODUCT(('Ingredient Costing'!$A$2:$A$559=$B43)*(('Ingredient Costing'!$D$2:$D$559="Substitute")+(LEFT('Ingredient Costing'!$N$2:$N$559,16)="Amount not given")&gt;0))</f>
        <v>1</v>
      </c>
      <c r="H43" s="5">
        <f>COUNTIFS('Ingredient Costing'!$A$2:$A$559,$B43,'Ingredient Costing'!$D$2:$D$559,"Not at Woolworths")</f>
        <v>0</v>
      </c>
      <c r="I43" s="5">
        <f>COUNTIFS('Ingredient Costing'!$A$2:$A$559,$B43,'Ingredient Costing'!$D$2:$D$559,"Basic - not costed")</f>
        <v>0</v>
      </c>
      <c r="J43" s="7" t="s">
        <v>12</v>
      </c>
    </row>
    <row r="44" spans="1:10" x14ac:dyDescent="0.2">
      <c r="A44" s="2">
        <v>43</v>
      </c>
      <c r="B44" s="2" t="s">
        <v>62</v>
      </c>
      <c r="C44" s="2" t="s">
        <v>63</v>
      </c>
      <c r="D44" s="3">
        <f>SUMIFS('Ingredient Costing'!$M$2:$M$559,'Ingredient Costing'!$A$2:$A$559,$B44)</f>
        <v>111.97999999999999</v>
      </c>
      <c r="E44" s="2">
        <f>SUMIFS('Ingredient Costing'!$L$2:$L$559,'Ingredient Costing'!$A$2:$A$559,$B44)</f>
        <v>111.97999999999999</v>
      </c>
      <c r="F44" s="2">
        <f>COUNTIFS('Ingredient Costing'!$A$2:$A$559,$B44,'Ingredient Costing'!$D$2:$D$559,"Costed")+COUNTIFS('Ingredient Costing'!$A$2:$A$559,$B44,'Ingredient Costing'!$D$2:$D$559,"Substitute")+COUNTIFS('Ingredient Costing'!$A$2:$A$559,$B44,'Ingredient Costing'!$D$2:$D$559,"Uses 5 Veg Mince")</f>
        <v>2</v>
      </c>
      <c r="G44" s="2">
        <f>SUMPRODUCT(('Ingredient Costing'!$A$2:$A$559=$B44)*(('Ingredient Costing'!$D$2:$D$559="Substitute")+(LEFT('Ingredient Costing'!$N$2:$N$559,16)="Amount not given")&gt;0))</f>
        <v>2</v>
      </c>
      <c r="H44" s="2">
        <f>COUNTIFS('Ingredient Costing'!$A$2:$A$559,$B44,'Ingredient Costing'!$D$2:$D$559,"Not at Woolworths")</f>
        <v>0</v>
      </c>
      <c r="I44" s="2">
        <f>COUNTIFS('Ingredient Costing'!$A$2:$A$559,$B44,'Ingredient Costing'!$D$2:$D$559,"Basic - not costed")</f>
        <v>0</v>
      </c>
      <c r="J44" s="4" t="s">
        <v>12</v>
      </c>
    </row>
    <row r="45" spans="1:10" x14ac:dyDescent="0.2">
      <c r="A45" s="5">
        <v>44</v>
      </c>
      <c r="B45" s="5" t="s">
        <v>64</v>
      </c>
      <c r="C45" s="5" t="s">
        <v>11</v>
      </c>
      <c r="D45" s="6">
        <f>SUMIFS('Ingredient Costing'!$M$2:$M$559,'Ingredient Costing'!$A$2:$A$559,$B45)</f>
        <v>233.3913</v>
      </c>
      <c r="E45" s="5">
        <f>SUMIFS('Ingredient Costing'!$L$2:$L$559,'Ingredient Costing'!$A$2:$A$559,$B45)</f>
        <v>544.69000000000005</v>
      </c>
      <c r="F45" s="5">
        <f>COUNTIFS('Ingredient Costing'!$A$2:$A$559,$B45,'Ingredient Costing'!$D$2:$D$559,"Costed")+COUNTIFS('Ingredient Costing'!$A$2:$A$559,$B45,'Ingredient Costing'!$D$2:$D$559,"Substitute")+COUNTIFS('Ingredient Costing'!$A$2:$A$559,$B45,'Ingredient Costing'!$D$2:$D$559,"Uses 5 Veg Mince")</f>
        <v>12</v>
      </c>
      <c r="G45" s="5">
        <f>SUMPRODUCT(('Ingredient Costing'!$A$2:$A$559=$B45)*(('Ingredient Costing'!$D$2:$D$559="Substitute")+(LEFT('Ingredient Costing'!$N$2:$N$559,16)="Amount not given")&gt;0))</f>
        <v>1</v>
      </c>
      <c r="H45" s="5">
        <f>COUNTIFS('Ingredient Costing'!$A$2:$A$559,$B45,'Ingredient Costing'!$D$2:$D$559,"Not at Woolworths")</f>
        <v>0</v>
      </c>
      <c r="I45" s="5">
        <f>COUNTIFS('Ingredient Costing'!$A$2:$A$559,$B45,'Ingredient Costing'!$D$2:$D$559,"Basic - not costed")</f>
        <v>1</v>
      </c>
      <c r="J45" s="7" t="s">
        <v>12</v>
      </c>
    </row>
    <row r="46" spans="1:10" x14ac:dyDescent="0.2">
      <c r="A46" s="2">
        <v>45</v>
      </c>
      <c r="B46" s="2" t="s">
        <v>65</v>
      </c>
      <c r="C46" s="2" t="s">
        <v>14</v>
      </c>
      <c r="D46" s="3">
        <f>SUMIFS('Ingredient Costing'!$M$2:$M$559,'Ingredient Costing'!$A$2:$A$559,$B46)</f>
        <v>30.892379999999999</v>
      </c>
      <c r="E46" s="2">
        <f>SUMIFS('Ingredient Costing'!$L$2:$L$559,'Ingredient Costing'!$A$2:$A$559,$B46)</f>
        <v>264.97000000000003</v>
      </c>
      <c r="F46" s="2">
        <f>COUNTIFS('Ingredient Costing'!$A$2:$A$559,$B46,'Ingredient Costing'!$D$2:$D$559,"Costed")+COUNTIFS('Ingredient Costing'!$A$2:$A$559,$B46,'Ingredient Costing'!$D$2:$D$559,"Substitute")+COUNTIFS('Ingredient Costing'!$A$2:$A$559,$B46,'Ingredient Costing'!$D$2:$D$559,"Uses 5 Veg Mince")</f>
        <v>3</v>
      </c>
      <c r="G46" s="2">
        <f>SUMPRODUCT(('Ingredient Costing'!$A$2:$A$559=$B46)*(('Ingredient Costing'!$D$2:$D$559="Substitute")+(LEFT('Ingredient Costing'!$N$2:$N$559,16)="Amount not given")&gt;0))</f>
        <v>2</v>
      </c>
      <c r="H46" s="2">
        <f>COUNTIFS('Ingredient Costing'!$A$2:$A$559,$B46,'Ingredient Costing'!$D$2:$D$559,"Not at Woolworths")</f>
        <v>0</v>
      </c>
      <c r="I46" s="2">
        <f>COUNTIFS('Ingredient Costing'!$A$2:$A$559,$B46,'Ingredient Costing'!$D$2:$D$559,"Basic - not costed")</f>
        <v>1</v>
      </c>
      <c r="J46" s="4" t="s">
        <v>12</v>
      </c>
    </row>
    <row r="47" spans="1:10" x14ac:dyDescent="0.2">
      <c r="A47" s="5">
        <v>46</v>
      </c>
      <c r="B47" s="5" t="s">
        <v>66</v>
      </c>
      <c r="C47" s="5" t="s">
        <v>17</v>
      </c>
      <c r="D47" s="6">
        <f>SUMIFS('Ingredient Costing'!$M$2:$M$559,'Ingredient Costing'!$A$2:$A$559,$B47)</f>
        <v>112.2456</v>
      </c>
      <c r="E47" s="5">
        <f>SUMIFS('Ingredient Costing'!$L$2:$L$559,'Ingredient Costing'!$A$2:$A$559,$B47)</f>
        <v>447.92</v>
      </c>
      <c r="F47" s="5">
        <f>COUNTIFS('Ingredient Costing'!$A$2:$A$559,$B47,'Ingredient Costing'!$D$2:$D$559,"Costed")+COUNTIFS('Ingredient Costing'!$A$2:$A$559,$B47,'Ingredient Costing'!$D$2:$D$559,"Substitute")+COUNTIFS('Ingredient Costing'!$A$2:$A$559,$B47,'Ingredient Costing'!$D$2:$D$559,"Uses 5 Veg Mince")</f>
        <v>8</v>
      </c>
      <c r="G47" s="5">
        <f>SUMPRODUCT(('Ingredient Costing'!$A$2:$A$559=$B47)*(('Ingredient Costing'!$D$2:$D$559="Substitute")+(LEFT('Ingredient Costing'!$N$2:$N$559,16)="Amount not given")&gt;0))</f>
        <v>0</v>
      </c>
      <c r="H47" s="5">
        <f>COUNTIFS('Ingredient Costing'!$A$2:$A$559,$B47,'Ingredient Costing'!$D$2:$D$559,"Not at Woolworths")</f>
        <v>0</v>
      </c>
      <c r="I47" s="5">
        <f>COUNTIFS('Ingredient Costing'!$A$2:$A$559,$B47,'Ingredient Costing'!$D$2:$D$559,"Basic - not costed")</f>
        <v>0</v>
      </c>
      <c r="J47" s="7" t="s">
        <v>12</v>
      </c>
    </row>
    <row r="48" spans="1:10" x14ac:dyDescent="0.2">
      <c r="A48" s="2">
        <v>47</v>
      </c>
      <c r="B48" s="2" t="s">
        <v>67</v>
      </c>
      <c r="C48" s="2" t="s">
        <v>11</v>
      </c>
      <c r="D48" s="3">
        <f>SUMIFS('Ingredient Costing'!$M$2:$M$559,'Ingredient Costing'!$A$2:$A$559,$B48)</f>
        <v>209.40234000000001</v>
      </c>
      <c r="E48" s="2">
        <f>SUMIFS('Ingredient Costing'!$L$2:$L$559,'Ingredient Costing'!$A$2:$A$559,$B48)</f>
        <v>335.95000000000005</v>
      </c>
      <c r="F48" s="2">
        <f>COUNTIFS('Ingredient Costing'!$A$2:$A$559,$B48,'Ingredient Costing'!$D$2:$D$559,"Costed")+COUNTIFS('Ingredient Costing'!$A$2:$A$559,$B48,'Ingredient Costing'!$D$2:$D$559,"Substitute")+COUNTIFS('Ingredient Costing'!$A$2:$A$559,$B48,'Ingredient Costing'!$D$2:$D$559,"Uses 5 Veg Mince")</f>
        <v>5</v>
      </c>
      <c r="G48" s="2">
        <f>SUMPRODUCT(('Ingredient Costing'!$A$2:$A$559=$B48)*(('Ingredient Costing'!$D$2:$D$559="Substitute")+(LEFT('Ingredient Costing'!$N$2:$N$559,16)="Amount not given")&gt;0))</f>
        <v>0</v>
      </c>
      <c r="H48" s="2">
        <f>COUNTIFS('Ingredient Costing'!$A$2:$A$559,$B48,'Ingredient Costing'!$D$2:$D$559,"Not at Woolworths")</f>
        <v>0</v>
      </c>
      <c r="I48" s="2">
        <f>COUNTIFS('Ingredient Costing'!$A$2:$A$559,$B48,'Ingredient Costing'!$D$2:$D$559,"Basic - not costed")</f>
        <v>0</v>
      </c>
      <c r="J48" s="4" t="s">
        <v>12</v>
      </c>
    </row>
    <row r="49" spans="1:10" x14ac:dyDescent="0.2">
      <c r="A49" s="5">
        <v>48</v>
      </c>
      <c r="B49" s="5" t="s">
        <v>68</v>
      </c>
      <c r="C49" s="5" t="s">
        <v>22</v>
      </c>
      <c r="D49" s="6">
        <f>SUMIFS('Ingredient Costing'!$M$2:$M$559,'Ingredient Costing'!$A$2:$A$559,$B49)</f>
        <v>110.10231</v>
      </c>
      <c r="E49" s="5">
        <f>SUMIFS('Ingredient Costing'!$L$2:$L$559,'Ingredient Costing'!$A$2:$A$559,$B49)</f>
        <v>271.90000000000003</v>
      </c>
      <c r="F49" s="5">
        <f>COUNTIFS('Ingredient Costing'!$A$2:$A$559,$B49,'Ingredient Costing'!$D$2:$D$559,"Costed")+COUNTIFS('Ingredient Costing'!$A$2:$A$559,$B49,'Ingredient Costing'!$D$2:$D$559,"Substitute")+COUNTIFS('Ingredient Costing'!$A$2:$A$559,$B49,'Ingredient Costing'!$D$2:$D$559,"Uses 5 Veg Mince")</f>
        <v>10</v>
      </c>
      <c r="G49" s="5">
        <f>SUMPRODUCT(('Ingredient Costing'!$A$2:$A$559=$B49)*(('Ingredient Costing'!$D$2:$D$559="Substitute")+(LEFT('Ingredient Costing'!$N$2:$N$559,16)="Amount not given")&gt;0))</f>
        <v>0</v>
      </c>
      <c r="H49" s="5">
        <f>COUNTIFS('Ingredient Costing'!$A$2:$A$559,$B49,'Ingredient Costing'!$D$2:$D$559,"Not at Woolworths")</f>
        <v>0</v>
      </c>
      <c r="I49" s="5">
        <f>COUNTIFS('Ingredient Costing'!$A$2:$A$559,$B49,'Ingredient Costing'!$D$2:$D$559,"Basic - not costed")</f>
        <v>2</v>
      </c>
      <c r="J49" s="7" t="s">
        <v>12</v>
      </c>
    </row>
    <row r="50" spans="1:10" x14ac:dyDescent="0.2">
      <c r="A50" s="2">
        <v>49</v>
      </c>
      <c r="B50" s="2" t="s">
        <v>69</v>
      </c>
      <c r="C50" s="2" t="s">
        <v>50</v>
      </c>
      <c r="D50" s="3">
        <f>SUMIFS('Ingredient Costing'!$M$2:$M$559,'Ingredient Costing'!$A$2:$A$559,$B50)</f>
        <v>372.13008571428571</v>
      </c>
      <c r="E50" s="2">
        <f>SUMIFS('Ingredient Costing'!$L$2:$L$559,'Ingredient Costing'!$A$2:$A$559,$B50)</f>
        <v>598.86</v>
      </c>
      <c r="F50" s="2">
        <f>COUNTIFS('Ingredient Costing'!$A$2:$A$559,$B50,'Ingredient Costing'!$D$2:$D$559,"Costed")+COUNTIFS('Ingredient Costing'!$A$2:$A$559,$B50,'Ingredient Costing'!$D$2:$D$559,"Substitute")+COUNTIFS('Ingredient Costing'!$A$2:$A$559,$B50,'Ingredient Costing'!$D$2:$D$559,"Uses 5 Veg Mince")</f>
        <v>13</v>
      </c>
      <c r="G50" s="2">
        <f>SUMPRODUCT(('Ingredient Costing'!$A$2:$A$559=$B50)*(('Ingredient Costing'!$D$2:$D$559="Substitute")+(LEFT('Ingredient Costing'!$N$2:$N$559,16)="Amount not given")&gt;0))</f>
        <v>9</v>
      </c>
      <c r="H50" s="2">
        <f>COUNTIFS('Ingredient Costing'!$A$2:$A$559,$B50,'Ingredient Costing'!$D$2:$D$559,"Not at Woolworths")</f>
        <v>0</v>
      </c>
      <c r="I50" s="2">
        <f>COUNTIFS('Ingredient Costing'!$A$2:$A$559,$B50,'Ingredient Costing'!$D$2:$D$559,"Basic - not costed")</f>
        <v>1</v>
      </c>
      <c r="J50" s="4" t="s">
        <v>12</v>
      </c>
    </row>
    <row r="51" spans="1:10" x14ac:dyDescent="0.2">
      <c r="A51" s="5">
        <v>50</v>
      </c>
      <c r="B51" s="5" t="s">
        <v>70</v>
      </c>
      <c r="C51" s="5" t="s">
        <v>63</v>
      </c>
      <c r="D51" s="6">
        <f>SUMIFS('Ingredient Costing'!$M$2:$M$559,'Ingredient Costing'!$A$2:$A$559,$B51)</f>
        <v>103.63674999999999</v>
      </c>
      <c r="E51" s="5">
        <f>SUMIFS('Ingredient Costing'!$L$2:$L$559,'Ingredient Costing'!$A$2:$A$559,$B51)</f>
        <v>218.94000000000003</v>
      </c>
      <c r="F51" s="5">
        <f>COUNTIFS('Ingredient Costing'!$A$2:$A$559,$B51,'Ingredient Costing'!$D$2:$D$559,"Costed")+COUNTIFS('Ingredient Costing'!$A$2:$A$559,$B51,'Ingredient Costing'!$D$2:$D$559,"Substitute")+COUNTIFS('Ingredient Costing'!$A$2:$A$559,$B51,'Ingredient Costing'!$D$2:$D$559,"Uses 5 Veg Mince")</f>
        <v>5</v>
      </c>
      <c r="G51" s="5">
        <f>SUMPRODUCT(('Ingredient Costing'!$A$2:$A$559=$B51)*(('Ingredient Costing'!$D$2:$D$559="Substitute")+(LEFT('Ingredient Costing'!$N$2:$N$559,16)="Amount not given")&gt;0))</f>
        <v>2</v>
      </c>
      <c r="H51" s="5">
        <f>COUNTIFS('Ingredient Costing'!$A$2:$A$559,$B51,'Ingredient Costing'!$D$2:$D$559,"Not at Woolworths")</f>
        <v>0</v>
      </c>
      <c r="I51" s="5">
        <f>COUNTIFS('Ingredient Costing'!$A$2:$A$559,$B51,'Ingredient Costing'!$D$2:$D$559,"Basic - not costed")</f>
        <v>0</v>
      </c>
      <c r="J51" s="7" t="s">
        <v>12</v>
      </c>
    </row>
    <row r="52" spans="1:10" x14ac:dyDescent="0.2">
      <c r="A52" s="2">
        <v>51</v>
      </c>
      <c r="B52" s="2" t="s">
        <v>71</v>
      </c>
      <c r="C52" s="2" t="s">
        <v>48</v>
      </c>
      <c r="D52" s="3">
        <f>SUMIFS('Ingredient Costing'!$M$2:$M$559,'Ingredient Costing'!$A$2:$A$559,$B52)</f>
        <v>73.520001666666673</v>
      </c>
      <c r="E52" s="2">
        <f>SUMIFS('Ingredient Costing'!$L$2:$L$559,'Ingredient Costing'!$A$2:$A$559,$B52)</f>
        <v>407.89000000000004</v>
      </c>
      <c r="F52" s="2">
        <f>COUNTIFS('Ingredient Costing'!$A$2:$A$559,$B52,'Ingredient Costing'!$D$2:$D$559,"Costed")+COUNTIFS('Ingredient Costing'!$A$2:$A$559,$B52,'Ingredient Costing'!$D$2:$D$559,"Substitute")+COUNTIFS('Ingredient Costing'!$A$2:$A$559,$B52,'Ingredient Costing'!$D$2:$D$559,"Uses 5 Veg Mince")</f>
        <v>11</v>
      </c>
      <c r="G52" s="2">
        <f>SUMPRODUCT(('Ingredient Costing'!$A$2:$A$559=$B52)*(('Ingredient Costing'!$D$2:$D$559="Substitute")+(LEFT('Ingredient Costing'!$N$2:$N$559,16)="Amount not given")&gt;0))</f>
        <v>1</v>
      </c>
      <c r="H52" s="2">
        <f>COUNTIFS('Ingredient Costing'!$A$2:$A$559,$B52,'Ingredient Costing'!$D$2:$D$559,"Not at Woolworths")</f>
        <v>0</v>
      </c>
      <c r="I52" s="2">
        <f>COUNTIFS('Ingredient Costing'!$A$2:$A$559,$B52,'Ingredient Costing'!$D$2:$D$559,"Basic - not costed")</f>
        <v>1</v>
      </c>
      <c r="J52" s="4" t="s">
        <v>12</v>
      </c>
    </row>
    <row r="53" spans="1:10" x14ac:dyDescent="0.2">
      <c r="A53" s="5">
        <v>52</v>
      </c>
      <c r="B53" s="5" t="s">
        <v>72</v>
      </c>
      <c r="C53" s="5" t="s">
        <v>63</v>
      </c>
      <c r="D53" s="6">
        <f>SUMIFS('Ingredient Costing'!$M$2:$M$559,'Ingredient Costing'!$A$2:$A$559,$B53)</f>
        <v>34.871766666666666</v>
      </c>
      <c r="E53" s="5">
        <f>SUMIFS('Ingredient Costing'!$L$2:$L$559,'Ingredient Costing'!$A$2:$A$559,$B53)</f>
        <v>226.95000000000002</v>
      </c>
      <c r="F53" s="5">
        <f>COUNTIFS('Ingredient Costing'!$A$2:$A$559,$B53,'Ingredient Costing'!$D$2:$D$559,"Costed")+COUNTIFS('Ingredient Costing'!$A$2:$A$559,$B53,'Ingredient Costing'!$D$2:$D$559,"Substitute")+COUNTIFS('Ingredient Costing'!$A$2:$A$559,$B53,'Ingredient Costing'!$D$2:$D$559,"Uses 5 Veg Mince")</f>
        <v>5</v>
      </c>
      <c r="G53" s="5">
        <f>SUMPRODUCT(('Ingredient Costing'!$A$2:$A$559=$B53)*(('Ingredient Costing'!$D$2:$D$559="Substitute")+(LEFT('Ingredient Costing'!$N$2:$N$559,16)="Amount not given")&gt;0))</f>
        <v>0</v>
      </c>
      <c r="H53" s="5">
        <f>COUNTIFS('Ingredient Costing'!$A$2:$A$559,$B53,'Ingredient Costing'!$D$2:$D$559,"Not at Woolworths")</f>
        <v>0</v>
      </c>
      <c r="I53" s="5">
        <f>COUNTIFS('Ingredient Costing'!$A$2:$A$559,$B53,'Ingredient Costing'!$D$2:$D$559,"Basic - not costed")</f>
        <v>0</v>
      </c>
      <c r="J53" s="7" t="s">
        <v>12</v>
      </c>
    </row>
    <row r="54" spans="1:10" x14ac:dyDescent="0.2">
      <c r="A54" s="2">
        <v>53</v>
      </c>
      <c r="B54" s="2" t="s">
        <v>73</v>
      </c>
      <c r="C54" s="2" t="s">
        <v>63</v>
      </c>
      <c r="D54" s="3">
        <f>SUMIFS('Ingredient Costing'!$M$2:$M$559,'Ingredient Costing'!$A$2:$A$559,$B54)</f>
        <v>66.966600000000014</v>
      </c>
      <c r="E54" s="2">
        <f>SUMIFS('Ingredient Costing'!$L$2:$L$559,'Ingredient Costing'!$A$2:$A$559,$B54)</f>
        <v>261.95</v>
      </c>
      <c r="F54" s="2">
        <f>COUNTIFS('Ingredient Costing'!$A$2:$A$559,$B54,'Ingredient Costing'!$D$2:$D$559,"Costed")+COUNTIFS('Ingredient Costing'!$A$2:$A$559,$B54,'Ingredient Costing'!$D$2:$D$559,"Substitute")+COUNTIFS('Ingredient Costing'!$A$2:$A$559,$B54,'Ingredient Costing'!$D$2:$D$559,"Uses 5 Veg Mince")</f>
        <v>6</v>
      </c>
      <c r="G54" s="2">
        <f>SUMPRODUCT(('Ingredient Costing'!$A$2:$A$559=$B54)*(('Ingredient Costing'!$D$2:$D$559="Substitute")+(LEFT('Ingredient Costing'!$N$2:$N$559,16)="Amount not given")&gt;0))</f>
        <v>1</v>
      </c>
      <c r="H54" s="2">
        <f>COUNTIFS('Ingredient Costing'!$A$2:$A$559,$B54,'Ingredient Costing'!$D$2:$D$559,"Not at Woolworths")</f>
        <v>0</v>
      </c>
      <c r="I54" s="2">
        <f>COUNTIFS('Ingredient Costing'!$A$2:$A$559,$B54,'Ingredient Costing'!$D$2:$D$559,"Basic - not costed")</f>
        <v>0</v>
      </c>
      <c r="J54" s="4" t="s">
        <v>12</v>
      </c>
    </row>
    <row r="55" spans="1:10" x14ac:dyDescent="0.2">
      <c r="A55" s="5">
        <v>54</v>
      </c>
      <c r="B55" s="5" t="s">
        <v>74</v>
      </c>
      <c r="C55" s="5" t="s">
        <v>63</v>
      </c>
      <c r="D55" s="6">
        <f>SUMIFS('Ingredient Costing'!$M$2:$M$559,'Ingredient Costing'!$A$2:$A$559,$B55)</f>
        <v>49.714733333333328</v>
      </c>
      <c r="E55" s="5">
        <f>SUMIFS('Ingredient Costing'!$L$2:$L$559,'Ingredient Costing'!$A$2:$A$559,$B55)</f>
        <v>215.95000000000002</v>
      </c>
      <c r="F55" s="5">
        <f>COUNTIFS('Ingredient Costing'!$A$2:$A$559,$B55,'Ingredient Costing'!$D$2:$D$559,"Costed")+COUNTIFS('Ingredient Costing'!$A$2:$A$559,$B55,'Ingredient Costing'!$D$2:$D$559,"Substitute")+COUNTIFS('Ingredient Costing'!$A$2:$A$559,$B55,'Ingredient Costing'!$D$2:$D$559,"Uses 5 Veg Mince")</f>
        <v>5</v>
      </c>
      <c r="G55" s="5">
        <f>SUMPRODUCT(('Ingredient Costing'!$A$2:$A$559=$B55)*(('Ingredient Costing'!$D$2:$D$559="Substitute")+(LEFT('Ingredient Costing'!$N$2:$N$559,16)="Amount not given")&gt;0))</f>
        <v>2</v>
      </c>
      <c r="H55" s="5">
        <f>COUNTIFS('Ingredient Costing'!$A$2:$A$559,$B55,'Ingredient Costing'!$D$2:$D$559,"Not at Woolworths")</f>
        <v>0</v>
      </c>
      <c r="I55" s="5">
        <f>COUNTIFS('Ingredient Costing'!$A$2:$A$559,$B55,'Ingredient Costing'!$D$2:$D$559,"Basic - not costed")</f>
        <v>0</v>
      </c>
      <c r="J55" s="7" t="s">
        <v>12</v>
      </c>
    </row>
    <row r="56" spans="1:10" x14ac:dyDescent="0.2">
      <c r="A56" s="2">
        <v>55</v>
      </c>
      <c r="B56" s="2" t="s">
        <v>75</v>
      </c>
      <c r="C56" s="2" t="s">
        <v>14</v>
      </c>
      <c r="D56" s="3">
        <f>SUMIFS('Ingredient Costing'!$M$2:$M$559,'Ingredient Costing'!$A$2:$A$559,$B56)</f>
        <v>66.914280000000005</v>
      </c>
      <c r="E56" s="2">
        <f>SUMIFS('Ingredient Costing'!$L$2:$L$559,'Ingredient Costing'!$A$2:$A$559,$B56)</f>
        <v>375.89</v>
      </c>
      <c r="F56" s="2">
        <f>COUNTIFS('Ingredient Costing'!$A$2:$A$559,$B56,'Ingredient Costing'!$D$2:$D$559,"Costed")+COUNTIFS('Ingredient Costing'!$A$2:$A$559,$B56,'Ingredient Costing'!$D$2:$D$559,"Substitute")+COUNTIFS('Ingredient Costing'!$A$2:$A$559,$B56,'Ingredient Costing'!$D$2:$D$559,"Uses 5 Veg Mince")</f>
        <v>5</v>
      </c>
      <c r="G56" s="2">
        <f>SUMPRODUCT(('Ingredient Costing'!$A$2:$A$559=$B56)*(('Ingredient Costing'!$D$2:$D$559="Substitute")+(LEFT('Ingredient Costing'!$N$2:$N$559,16)="Amount not given")&gt;0))</f>
        <v>2</v>
      </c>
      <c r="H56" s="2">
        <f>COUNTIFS('Ingredient Costing'!$A$2:$A$559,$B56,'Ingredient Costing'!$D$2:$D$559,"Not at Woolworths")</f>
        <v>0</v>
      </c>
      <c r="I56" s="2">
        <f>COUNTIFS('Ingredient Costing'!$A$2:$A$559,$B56,'Ingredient Costing'!$D$2:$D$559,"Basic - not costed")</f>
        <v>1</v>
      </c>
      <c r="J56" s="4" t="s">
        <v>12</v>
      </c>
    </row>
    <row r="57" spans="1:10" x14ac:dyDescent="0.2">
      <c r="A57" s="5">
        <v>56</v>
      </c>
      <c r="B57" s="5" t="s">
        <v>76</v>
      </c>
      <c r="C57" s="5" t="s">
        <v>48</v>
      </c>
      <c r="D57" s="6">
        <f>SUMIFS('Ingredient Costing'!$M$2:$M$559,'Ingredient Costing'!$A$2:$A$559,$B57)</f>
        <v>227.72301111111111</v>
      </c>
      <c r="E57" s="5">
        <f>SUMIFS('Ingredient Costing'!$L$2:$L$559,'Ingredient Costing'!$A$2:$A$559,$B57)</f>
        <v>425.91</v>
      </c>
      <c r="F57" s="5">
        <f>COUNTIFS('Ingredient Costing'!$A$2:$A$559,$B57,'Ingredient Costing'!$D$2:$D$559,"Costed")+COUNTIFS('Ingredient Costing'!$A$2:$A$559,$B57,'Ingredient Costing'!$D$2:$D$559,"Substitute")+COUNTIFS('Ingredient Costing'!$A$2:$A$559,$B57,'Ingredient Costing'!$D$2:$D$559,"Uses 5 Veg Mince")</f>
        <v>12</v>
      </c>
      <c r="G57" s="5">
        <f>SUMPRODUCT(('Ingredient Costing'!$A$2:$A$559=$B57)*(('Ingredient Costing'!$D$2:$D$559="Substitute")+(LEFT('Ingredient Costing'!$N$2:$N$559,16)="Amount not given")&gt;0))</f>
        <v>3</v>
      </c>
      <c r="H57" s="5">
        <f>COUNTIFS('Ingredient Costing'!$A$2:$A$559,$B57,'Ingredient Costing'!$D$2:$D$559,"Not at Woolworths")</f>
        <v>0</v>
      </c>
      <c r="I57" s="5">
        <f>COUNTIFS('Ingredient Costing'!$A$2:$A$559,$B57,'Ingredient Costing'!$D$2:$D$559,"Basic - not costed")</f>
        <v>1</v>
      </c>
      <c r="J57" s="7" t="s">
        <v>12</v>
      </c>
    </row>
    <row r="58" spans="1:10" x14ac:dyDescent="0.2">
      <c r="A58" s="2">
        <v>57</v>
      </c>
      <c r="B58" s="2" t="s">
        <v>77</v>
      </c>
      <c r="C58" s="2" t="s">
        <v>11</v>
      </c>
      <c r="D58" s="3">
        <f>SUMIFS('Ingredient Costing'!$M$2:$M$559,'Ingredient Costing'!$A$2:$A$559,$B58)</f>
        <v>237.0638888888889</v>
      </c>
      <c r="E58" s="2">
        <f>SUMIFS('Ingredient Costing'!$L$2:$L$559,'Ingredient Costing'!$A$2:$A$559,$B58)</f>
        <v>269.94</v>
      </c>
      <c r="F58" s="2">
        <f>COUNTIFS('Ingredient Costing'!$A$2:$A$559,$B58,'Ingredient Costing'!$D$2:$D$559,"Costed")+COUNTIFS('Ingredient Costing'!$A$2:$A$559,$B58,'Ingredient Costing'!$D$2:$D$559,"Substitute")+COUNTIFS('Ingredient Costing'!$A$2:$A$559,$B58,'Ingredient Costing'!$D$2:$D$559,"Uses 5 Veg Mince")</f>
        <v>6</v>
      </c>
      <c r="G58" s="2">
        <f>SUMPRODUCT(('Ingredient Costing'!$A$2:$A$559=$B58)*(('Ingredient Costing'!$D$2:$D$559="Substitute")+(LEFT('Ingredient Costing'!$N$2:$N$559,16)="Amount not given")&gt;0))</f>
        <v>1</v>
      </c>
      <c r="H58" s="2">
        <f>COUNTIFS('Ingredient Costing'!$A$2:$A$559,$B58,'Ingredient Costing'!$D$2:$D$559,"Not at Woolworths")</f>
        <v>0</v>
      </c>
      <c r="I58" s="2">
        <f>COUNTIFS('Ingredient Costing'!$A$2:$A$559,$B58,'Ingredient Costing'!$D$2:$D$559,"Basic - not costed")</f>
        <v>0</v>
      </c>
      <c r="J58" s="4" t="s">
        <v>12</v>
      </c>
    </row>
    <row r="59" spans="1:10" x14ac:dyDescent="0.2">
      <c r="A59" s="5">
        <v>58</v>
      </c>
      <c r="B59" s="5" t="s">
        <v>78</v>
      </c>
      <c r="C59" s="5" t="s">
        <v>48</v>
      </c>
      <c r="D59" s="6">
        <f>SUMIFS('Ingredient Costing'!$M$2:$M$559,'Ingredient Costing'!$A$2:$A$559,$B59)</f>
        <v>118.38362500000001</v>
      </c>
      <c r="E59" s="5">
        <f>SUMIFS('Ingredient Costing'!$L$2:$L$559,'Ingredient Costing'!$A$2:$A$559,$B59)</f>
        <v>305.92</v>
      </c>
      <c r="F59" s="5">
        <f>COUNTIFS('Ingredient Costing'!$A$2:$A$559,$B59,'Ingredient Costing'!$D$2:$D$559,"Costed")+COUNTIFS('Ingredient Costing'!$A$2:$A$559,$B59,'Ingredient Costing'!$D$2:$D$559,"Substitute")+COUNTIFS('Ingredient Costing'!$A$2:$A$559,$B59,'Ingredient Costing'!$D$2:$D$559,"Uses 5 Veg Mince")</f>
        <v>8</v>
      </c>
      <c r="G59" s="5">
        <f>SUMPRODUCT(('Ingredient Costing'!$A$2:$A$559=$B59)*(('Ingredient Costing'!$D$2:$D$559="Substitute")+(LEFT('Ingredient Costing'!$N$2:$N$559,16)="Amount not given")&gt;0))</f>
        <v>0</v>
      </c>
      <c r="H59" s="5">
        <f>COUNTIFS('Ingredient Costing'!$A$2:$A$559,$B59,'Ingredient Costing'!$D$2:$D$559,"Not at Woolworths")</f>
        <v>0</v>
      </c>
      <c r="I59" s="5">
        <f>COUNTIFS('Ingredient Costing'!$A$2:$A$559,$B59,'Ingredient Costing'!$D$2:$D$559,"Basic - not costed")</f>
        <v>0</v>
      </c>
      <c r="J59" s="7" t="s">
        <v>12</v>
      </c>
    </row>
    <row r="60" spans="1:10" x14ac:dyDescent="0.2">
      <c r="A60" s="2">
        <v>59</v>
      </c>
      <c r="B60" s="2" t="s">
        <v>79</v>
      </c>
      <c r="C60" s="2" t="s">
        <v>48</v>
      </c>
      <c r="D60" s="3">
        <f>SUMIFS('Ingredient Costing'!$M$2:$M$559,'Ingredient Costing'!$A$2:$A$559,$B60)</f>
        <v>84.98084999999999</v>
      </c>
      <c r="E60" s="2">
        <f>SUMIFS('Ingredient Costing'!$L$2:$L$559,'Ingredient Costing'!$A$2:$A$559,$B60)</f>
        <v>229.96</v>
      </c>
      <c r="F60" s="2">
        <f>COUNTIFS('Ingredient Costing'!$A$2:$A$559,$B60,'Ingredient Costing'!$D$2:$D$559,"Costed")+COUNTIFS('Ingredient Costing'!$A$2:$A$559,$B60,'Ingredient Costing'!$D$2:$D$559,"Substitute")+COUNTIFS('Ingredient Costing'!$A$2:$A$559,$B60,'Ingredient Costing'!$D$2:$D$559,"Uses 5 Veg Mince")</f>
        <v>4</v>
      </c>
      <c r="G60" s="2">
        <f>SUMPRODUCT(('Ingredient Costing'!$A$2:$A$559=$B60)*(('Ingredient Costing'!$D$2:$D$559="Substitute")+(LEFT('Ingredient Costing'!$N$2:$N$559,16)="Amount not given")&gt;0))</f>
        <v>0</v>
      </c>
      <c r="H60" s="2">
        <f>COUNTIFS('Ingredient Costing'!$A$2:$A$559,$B60,'Ingredient Costing'!$D$2:$D$559,"Not at Woolworths")</f>
        <v>0</v>
      </c>
      <c r="I60" s="2">
        <f>COUNTIFS('Ingredient Costing'!$A$2:$A$559,$B60,'Ingredient Costing'!$D$2:$D$559,"Basic - not costed")</f>
        <v>0</v>
      </c>
      <c r="J60" s="4" t="s">
        <v>12</v>
      </c>
    </row>
    <row r="61" spans="1:10" x14ac:dyDescent="0.2">
      <c r="A61" s="5">
        <v>60</v>
      </c>
      <c r="B61" s="5" t="s">
        <v>80</v>
      </c>
      <c r="C61" s="5" t="s">
        <v>50</v>
      </c>
      <c r="D61" s="6">
        <f>SUMIFS('Ingredient Costing'!$M$2:$M$559,'Ingredient Costing'!$A$2:$A$559,$B61)</f>
        <v>272.05780000000004</v>
      </c>
      <c r="E61" s="5">
        <f>SUMIFS('Ingredient Costing'!$L$2:$L$559,'Ingredient Costing'!$A$2:$A$559,$B61)</f>
        <v>498.88000000000005</v>
      </c>
      <c r="F61" s="5">
        <f>COUNTIFS('Ingredient Costing'!$A$2:$A$559,$B61,'Ingredient Costing'!$D$2:$D$559,"Costed")+COUNTIFS('Ingredient Costing'!$A$2:$A$559,$B61,'Ingredient Costing'!$D$2:$D$559,"Substitute")+COUNTIFS('Ingredient Costing'!$A$2:$A$559,$B61,'Ingredient Costing'!$D$2:$D$559,"Uses 5 Veg Mince")</f>
        <v>11</v>
      </c>
      <c r="G61" s="5">
        <f>SUMPRODUCT(('Ingredient Costing'!$A$2:$A$559=$B61)*(('Ingredient Costing'!$D$2:$D$559="Substitute")+(LEFT('Ingredient Costing'!$N$2:$N$559,16)="Amount not given")&gt;0))</f>
        <v>5</v>
      </c>
      <c r="H61" s="5">
        <f>COUNTIFS('Ingredient Costing'!$A$2:$A$559,$B61,'Ingredient Costing'!$D$2:$D$559,"Not at Woolworths")</f>
        <v>0</v>
      </c>
      <c r="I61" s="5">
        <f>COUNTIFS('Ingredient Costing'!$A$2:$A$559,$B61,'Ingredient Costing'!$D$2:$D$559,"Basic - not costed")</f>
        <v>0</v>
      </c>
      <c r="J61" s="7" t="s">
        <v>12</v>
      </c>
    </row>
    <row r="62" spans="1:10" x14ac:dyDescent="0.2">
      <c r="A62" s="2">
        <v>61</v>
      </c>
      <c r="B62" s="2" t="s">
        <v>81</v>
      </c>
      <c r="C62" s="2" t="s">
        <v>11</v>
      </c>
      <c r="D62" s="3">
        <f>SUMIFS('Ingredient Costing'!$M$2:$M$559,'Ingredient Costing'!$A$2:$A$559,$B62)</f>
        <v>251.11530000000002</v>
      </c>
      <c r="E62" s="2">
        <f>SUMIFS('Ingredient Costing'!$L$2:$L$559,'Ingredient Costing'!$A$2:$A$559,$B62)</f>
        <v>360.78000000000009</v>
      </c>
      <c r="F62" s="2">
        <f>COUNTIFS('Ingredient Costing'!$A$2:$A$559,$B62,'Ingredient Costing'!$D$2:$D$559,"Costed")+COUNTIFS('Ingredient Costing'!$A$2:$A$559,$B62,'Ingredient Costing'!$D$2:$D$559,"Substitute")+COUNTIFS('Ingredient Costing'!$A$2:$A$559,$B62,'Ingredient Costing'!$D$2:$D$559,"Uses 5 Veg Mince")</f>
        <v>11</v>
      </c>
      <c r="G62" s="2">
        <f>SUMPRODUCT(('Ingredient Costing'!$A$2:$A$559=$B62)*(('Ingredient Costing'!$D$2:$D$559="Substitute")+(LEFT('Ingredient Costing'!$N$2:$N$559,16)="Amount not given")&gt;0))</f>
        <v>0</v>
      </c>
      <c r="H62" s="2">
        <f>COUNTIFS('Ingredient Costing'!$A$2:$A$559,$B62,'Ingredient Costing'!$D$2:$D$559,"Not at Woolworths")</f>
        <v>0</v>
      </c>
      <c r="I62" s="2">
        <f>COUNTIFS('Ingredient Costing'!$A$2:$A$559,$B62,'Ingredient Costing'!$D$2:$D$559,"Basic - not costed")</f>
        <v>1</v>
      </c>
      <c r="J62" s="4" t="s">
        <v>12</v>
      </c>
    </row>
    <row r="63" spans="1:10" x14ac:dyDescent="0.2">
      <c r="A63" s="5">
        <v>62</v>
      </c>
      <c r="B63" s="5" t="s">
        <v>82</v>
      </c>
      <c r="C63" s="5" t="s">
        <v>11</v>
      </c>
      <c r="D63" s="6">
        <f>SUMIFS('Ingredient Costing'!$M$2:$M$559,'Ingredient Costing'!$A$2:$A$559,$B63)</f>
        <v>310.10210000000001</v>
      </c>
      <c r="E63" s="5">
        <f>SUMIFS('Ingredient Costing'!$L$2:$L$559,'Ingredient Costing'!$A$2:$A$559,$B63)</f>
        <v>470.7600000000001</v>
      </c>
      <c r="F63" s="5">
        <f>COUNTIFS('Ingredient Costing'!$A$2:$A$559,$B63,'Ingredient Costing'!$D$2:$D$559,"Costed")+COUNTIFS('Ingredient Costing'!$A$2:$A$559,$B63,'Ingredient Costing'!$D$2:$D$559,"Substitute")+COUNTIFS('Ingredient Costing'!$A$2:$A$559,$B63,'Ingredient Costing'!$D$2:$D$559,"Uses 5 Veg Mince")</f>
        <v>3</v>
      </c>
      <c r="G63" s="5">
        <f>SUMPRODUCT(('Ingredient Costing'!$A$2:$A$559=$B63)*(('Ingredient Costing'!$D$2:$D$559="Substitute")+(LEFT('Ingredient Costing'!$N$2:$N$559,16)="Amount not given")&gt;0))</f>
        <v>2</v>
      </c>
      <c r="H63" s="5">
        <f>COUNTIFS('Ingredient Costing'!$A$2:$A$559,$B63,'Ingredient Costing'!$D$2:$D$559,"Not at Woolworths")</f>
        <v>0</v>
      </c>
      <c r="I63" s="5">
        <f>COUNTIFS('Ingredient Costing'!$A$2:$A$559,$B63,'Ingredient Costing'!$D$2:$D$559,"Basic - not costed")</f>
        <v>1</v>
      </c>
      <c r="J63" s="7" t="s">
        <v>12</v>
      </c>
    </row>
    <row r="64" spans="1:10" x14ac:dyDescent="0.2">
      <c r="A64" s="2">
        <v>63</v>
      </c>
      <c r="B64" s="2" t="s">
        <v>83</v>
      </c>
      <c r="C64" s="2" t="s">
        <v>11</v>
      </c>
      <c r="D64" s="3">
        <f>SUMIFS('Ingredient Costing'!$M$2:$M$559,'Ingredient Costing'!$A$2:$A$559,$B64)</f>
        <v>342.60160000000002</v>
      </c>
      <c r="E64" s="2">
        <f>SUMIFS('Ingredient Costing'!$L$2:$L$559,'Ingredient Costing'!$A$2:$A$559,$B64)</f>
        <v>607.75000000000011</v>
      </c>
      <c r="F64" s="2">
        <f>COUNTIFS('Ingredient Costing'!$A$2:$A$559,$B64,'Ingredient Costing'!$D$2:$D$559,"Costed")+COUNTIFS('Ingredient Costing'!$A$2:$A$559,$B64,'Ingredient Costing'!$D$2:$D$559,"Substitute")+COUNTIFS('Ingredient Costing'!$A$2:$A$559,$B64,'Ingredient Costing'!$D$2:$D$559,"Uses 5 Veg Mince")</f>
        <v>4</v>
      </c>
      <c r="G64" s="2">
        <f>SUMPRODUCT(('Ingredient Costing'!$A$2:$A$559=$B64)*(('Ingredient Costing'!$D$2:$D$559="Substitute")+(LEFT('Ingredient Costing'!$N$2:$N$559,16)="Amount not given")&gt;0))</f>
        <v>3</v>
      </c>
      <c r="H64" s="2">
        <f>COUNTIFS('Ingredient Costing'!$A$2:$A$559,$B64,'Ingredient Costing'!$D$2:$D$559,"Not at Woolworths")</f>
        <v>0</v>
      </c>
      <c r="I64" s="2">
        <f>COUNTIFS('Ingredient Costing'!$A$2:$A$559,$B64,'Ingredient Costing'!$D$2:$D$559,"Basic - not costed")</f>
        <v>0</v>
      </c>
      <c r="J64" s="4" t="s">
        <v>12</v>
      </c>
    </row>
    <row r="65" spans="1:10" x14ac:dyDescent="0.2">
      <c r="A65" s="5">
        <v>64</v>
      </c>
      <c r="B65" s="5" t="s">
        <v>84</v>
      </c>
      <c r="C65" s="5" t="s">
        <v>11</v>
      </c>
      <c r="D65" s="6">
        <f>SUMIFS('Ingredient Costing'!$M$2:$M$559,'Ingredient Costing'!$A$2:$A$559,$B65)</f>
        <v>314.70169840425535</v>
      </c>
      <c r="E65" s="5">
        <f>SUMIFS('Ingredient Costing'!$L$2:$L$559,'Ingredient Costing'!$A$2:$A$559,$B65)</f>
        <v>540.75000000000011</v>
      </c>
      <c r="F65" s="5">
        <f>COUNTIFS('Ingredient Costing'!$A$2:$A$559,$B65,'Ingredient Costing'!$D$2:$D$559,"Costed")+COUNTIFS('Ingredient Costing'!$A$2:$A$559,$B65,'Ingredient Costing'!$D$2:$D$559,"Substitute")+COUNTIFS('Ingredient Costing'!$A$2:$A$559,$B65,'Ingredient Costing'!$D$2:$D$559,"Uses 5 Veg Mince")</f>
        <v>5</v>
      </c>
      <c r="G65" s="5">
        <f>SUMPRODUCT(('Ingredient Costing'!$A$2:$A$559=$B65)*(('Ingredient Costing'!$D$2:$D$559="Substitute")+(LEFT('Ingredient Costing'!$N$2:$N$559,16)="Amount not given")&gt;0))</f>
        <v>1</v>
      </c>
      <c r="H65" s="5">
        <f>COUNTIFS('Ingredient Costing'!$A$2:$A$559,$B65,'Ingredient Costing'!$D$2:$D$559,"Not at Woolworths")</f>
        <v>0</v>
      </c>
      <c r="I65" s="5">
        <f>COUNTIFS('Ingredient Costing'!$A$2:$A$559,$B65,'Ingredient Costing'!$D$2:$D$559,"Basic - not costed")</f>
        <v>1</v>
      </c>
      <c r="J65" s="7" t="s">
        <v>12</v>
      </c>
    </row>
    <row r="66" spans="1:10" x14ac:dyDescent="0.2">
      <c r="A66" s="2">
        <v>65</v>
      </c>
      <c r="B66" s="2" t="s">
        <v>85</v>
      </c>
      <c r="C66" s="2" t="s">
        <v>11</v>
      </c>
      <c r="D66" s="3">
        <f>SUMIFS('Ingredient Costing'!$M$2:$M$559,'Ingredient Costing'!$A$2:$A$559,$B66)</f>
        <v>219.91877904761907</v>
      </c>
      <c r="E66" s="2">
        <f>SUMIFS('Ingredient Costing'!$L$2:$L$559,'Ingredient Costing'!$A$2:$A$559,$B66)</f>
        <v>553.89</v>
      </c>
      <c r="F66" s="2">
        <f>COUNTIFS('Ingredient Costing'!$A$2:$A$559,$B66,'Ingredient Costing'!$D$2:$D$559,"Costed")+COUNTIFS('Ingredient Costing'!$A$2:$A$559,$B66,'Ingredient Costing'!$D$2:$D$559,"Substitute")+COUNTIFS('Ingredient Costing'!$A$2:$A$559,$B66,'Ingredient Costing'!$D$2:$D$559,"Uses 5 Veg Mince")</f>
        <v>9</v>
      </c>
      <c r="G66" s="2">
        <f>SUMPRODUCT(('Ingredient Costing'!$A$2:$A$559=$B66)*(('Ingredient Costing'!$D$2:$D$559="Substitute")+(LEFT('Ingredient Costing'!$N$2:$N$559,16)="Amount not given")&gt;0))</f>
        <v>2</v>
      </c>
      <c r="H66" s="2">
        <f>COUNTIFS('Ingredient Costing'!$A$2:$A$559,$B66,'Ingredient Costing'!$D$2:$D$559,"Not at Woolworths")</f>
        <v>0</v>
      </c>
      <c r="I66" s="2">
        <f>COUNTIFS('Ingredient Costing'!$A$2:$A$559,$B66,'Ingredient Costing'!$D$2:$D$559,"Basic - not costed")</f>
        <v>0</v>
      </c>
      <c r="J66" s="4" t="s">
        <v>12</v>
      </c>
    </row>
    <row r="67" spans="1:10" x14ac:dyDescent="0.2">
      <c r="A67" s="5">
        <v>66</v>
      </c>
      <c r="B67" s="5" t="s">
        <v>86</v>
      </c>
      <c r="C67" s="5" t="s">
        <v>17</v>
      </c>
      <c r="D67" s="6">
        <f>SUMIFS('Ingredient Costing'!$M$2:$M$559,'Ingredient Costing'!$A$2:$A$559,$B67)</f>
        <v>79.828883333333323</v>
      </c>
      <c r="E67" s="5">
        <f>SUMIFS('Ingredient Costing'!$L$2:$L$559,'Ingredient Costing'!$A$2:$A$559,$B67)</f>
        <v>274.93</v>
      </c>
      <c r="F67" s="5">
        <f>COUNTIFS('Ingredient Costing'!$A$2:$A$559,$B67,'Ingredient Costing'!$D$2:$D$559,"Costed")+COUNTIFS('Ingredient Costing'!$A$2:$A$559,$B67,'Ingredient Costing'!$D$2:$D$559,"Substitute")+COUNTIFS('Ingredient Costing'!$A$2:$A$559,$B67,'Ingredient Costing'!$D$2:$D$559,"Uses 5 Veg Mince")</f>
        <v>7</v>
      </c>
      <c r="G67" s="5">
        <f>SUMPRODUCT(('Ingredient Costing'!$A$2:$A$559=$B67)*(('Ingredient Costing'!$D$2:$D$559="Substitute")+(LEFT('Ingredient Costing'!$N$2:$N$559,16)="Amount not given")&gt;0))</f>
        <v>0</v>
      </c>
      <c r="H67" s="5">
        <f>COUNTIFS('Ingredient Costing'!$A$2:$A$559,$B67,'Ingredient Costing'!$D$2:$D$559,"Not at Woolworths")</f>
        <v>0</v>
      </c>
      <c r="I67" s="5">
        <f>COUNTIFS('Ingredient Costing'!$A$2:$A$559,$B67,'Ingredient Costing'!$D$2:$D$559,"Basic - not costed")</f>
        <v>1</v>
      </c>
      <c r="J67" s="7" t="s">
        <v>12</v>
      </c>
    </row>
    <row r="68" spans="1:10" x14ac:dyDescent="0.2">
      <c r="A68" s="2">
        <v>67</v>
      </c>
      <c r="B68" s="2" t="s">
        <v>87</v>
      </c>
      <c r="C68" s="2" t="s">
        <v>63</v>
      </c>
      <c r="D68" s="3">
        <f>SUMIFS('Ingredient Costing'!$M$2:$M$559,'Ingredient Costing'!$A$2:$A$559,$B68)</f>
        <v>108.12450000000001</v>
      </c>
      <c r="E68" s="2">
        <f>SUMIFS('Ingredient Costing'!$L$2:$L$559,'Ingredient Costing'!$A$2:$A$559,$B68)</f>
        <v>179.95000000000002</v>
      </c>
      <c r="F68" s="2">
        <f>COUNTIFS('Ingredient Costing'!$A$2:$A$559,$B68,'Ingredient Costing'!$D$2:$D$559,"Costed")+COUNTIFS('Ingredient Costing'!$A$2:$A$559,$B68,'Ingredient Costing'!$D$2:$D$559,"Substitute")+COUNTIFS('Ingredient Costing'!$A$2:$A$559,$B68,'Ingredient Costing'!$D$2:$D$559,"Uses 5 Veg Mince")</f>
        <v>5</v>
      </c>
      <c r="G68" s="2">
        <f>SUMPRODUCT(('Ingredient Costing'!$A$2:$A$559=$B68)*(('Ingredient Costing'!$D$2:$D$559="Substitute")+(LEFT('Ingredient Costing'!$N$2:$N$559,16)="Amount not given")&gt;0))</f>
        <v>1</v>
      </c>
      <c r="H68" s="2">
        <f>COUNTIFS('Ingredient Costing'!$A$2:$A$559,$B68,'Ingredient Costing'!$D$2:$D$559,"Not at Woolworths")</f>
        <v>0</v>
      </c>
      <c r="I68" s="2">
        <f>COUNTIFS('Ingredient Costing'!$A$2:$A$559,$B68,'Ingredient Costing'!$D$2:$D$559,"Basic - not costed")</f>
        <v>1</v>
      </c>
      <c r="J68" s="4" t="s">
        <v>12</v>
      </c>
    </row>
    <row r="70" spans="1:10" x14ac:dyDescent="0.2">
      <c r="B70" s="6" t="s">
        <v>88</v>
      </c>
      <c r="D70" s="6">
        <f>AVERAGE(D2:D68)</f>
        <v>174.20285220617262</v>
      </c>
      <c r="E70" s="6">
        <f>AVERAGE(E2:E68)</f>
        <v>378.05567164179098</v>
      </c>
    </row>
    <row r="71" spans="1:10" x14ac:dyDescent="0.2">
      <c r="B71" s="8" t="str">
        <f>" Prices: woolworths.co.za, 6 Oct 2026 - basis: "&amp;'Notes &amp; Assumptions'!$C$4</f>
        <v xml:space="preserve"> Prices: woolworths.co.za, 6 Oct 2026 - basis: Today</v>
      </c>
    </row>
    <row r="72" spans="1:10" x14ac:dyDescent="0.2">
      <c r="B72" s="8" t="s">
        <v>89</v>
      </c>
    </row>
  </sheetData>
  <autoFilter ref="A1:J68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5" customWidth="1"/>
    <col min="2" max="2" width="34" customWidth="1"/>
    <col min="3" max="3" width="20" customWidth="1"/>
    <col min="4" max="4" width="55" customWidth="1"/>
    <col min="5" max="5" width="12" customWidth="1"/>
    <col min="6" max="6" width="40" customWidth="1"/>
    <col min="7" max="7" width="30" customWidth="1"/>
    <col min="8" max="9" width="15" customWidth="1"/>
  </cols>
  <sheetData>
    <row r="1" spans="1:9" ht="45" x14ac:dyDescent="0.2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92</v>
      </c>
      <c r="G1" s="1" t="s">
        <v>9</v>
      </c>
      <c r="H1" s="1" t="s">
        <v>3</v>
      </c>
      <c r="I1" s="1" t="s">
        <v>4</v>
      </c>
    </row>
    <row r="2" spans="1:9" ht="84" x14ac:dyDescent="0.2">
      <c r="A2" s="9">
        <v>1</v>
      </c>
      <c r="B2" s="9" t="s">
        <v>10</v>
      </c>
      <c r="C2" s="9" t="s">
        <v>11</v>
      </c>
      <c r="D2" s="9" t="s">
        <v>93</v>
      </c>
      <c r="E2" s="9">
        <v>6</v>
      </c>
      <c r="F2" s="9" t="s">
        <v>94</v>
      </c>
      <c r="G2" s="10" t="s">
        <v>95</v>
      </c>
      <c r="H2" s="11">
        <f>INDEX('Recipe Costs'!$D$2:$D$68,MATCH($B2,'Recipe Costs'!$B$2:$B$68,0))</f>
        <v>281.35513333333336</v>
      </c>
      <c r="I2" s="11">
        <f>INDEX('Recipe Costs'!$E$2:$E$68,MATCH($B2,'Recipe Costs'!$B$2:$B$68,0))</f>
        <v>345.93</v>
      </c>
    </row>
    <row r="3" spans="1:9" ht="98" x14ac:dyDescent="0.2">
      <c r="A3" s="9">
        <v>2</v>
      </c>
      <c r="B3" s="9" t="s">
        <v>13</v>
      </c>
      <c r="C3" s="9" t="s">
        <v>14</v>
      </c>
      <c r="D3" s="9" t="s">
        <v>96</v>
      </c>
      <c r="E3" s="9">
        <v>7</v>
      </c>
      <c r="F3" s="9" t="s">
        <v>97</v>
      </c>
      <c r="G3" s="10" t="s">
        <v>98</v>
      </c>
      <c r="H3" s="11">
        <f>INDEX('Recipe Costs'!$D$2:$D$68,MATCH($B3,'Recipe Costs'!$B$2:$B$68,0))</f>
        <v>100.41482857142857</v>
      </c>
      <c r="I3" s="11">
        <f>INDEX('Recipe Costs'!$E$2:$E$68,MATCH($B3,'Recipe Costs'!$B$2:$B$68,0))</f>
        <v>339.93</v>
      </c>
    </row>
    <row r="4" spans="1:9" ht="126" x14ac:dyDescent="0.2">
      <c r="A4" s="9">
        <v>3</v>
      </c>
      <c r="B4" s="9" t="s">
        <v>15</v>
      </c>
      <c r="C4" s="9" t="s">
        <v>11</v>
      </c>
      <c r="D4" s="9" t="s">
        <v>99</v>
      </c>
      <c r="E4" s="9">
        <v>9</v>
      </c>
      <c r="F4" s="9" t="s">
        <v>100</v>
      </c>
      <c r="G4" s="10" t="s">
        <v>101</v>
      </c>
      <c r="H4" s="11">
        <f>INDEX('Recipe Costs'!$D$2:$D$68,MATCH($B4,'Recipe Costs'!$B$2:$B$68,0))</f>
        <v>101.4820438095238</v>
      </c>
      <c r="I4" s="11">
        <f>INDEX('Recipe Costs'!$E$2:$E$68,MATCH($B4,'Recipe Costs'!$B$2:$B$68,0))</f>
        <v>501.82000000000005</v>
      </c>
    </row>
    <row r="5" spans="1:9" ht="126" x14ac:dyDescent="0.2">
      <c r="A5" s="9">
        <v>4</v>
      </c>
      <c r="B5" s="9" t="s">
        <v>16</v>
      </c>
      <c r="C5" s="9" t="s">
        <v>17</v>
      </c>
      <c r="D5" s="9" t="s">
        <v>102</v>
      </c>
      <c r="E5" s="9">
        <v>9</v>
      </c>
      <c r="F5" s="9" t="s">
        <v>103</v>
      </c>
      <c r="G5" s="10" t="s">
        <v>104</v>
      </c>
      <c r="H5" s="11">
        <f>INDEX('Recipe Costs'!$D$2:$D$68,MATCH($B5,'Recipe Costs'!$B$2:$B$68,0))</f>
        <v>102.58268000000001</v>
      </c>
      <c r="I5" s="11">
        <f>INDEX('Recipe Costs'!$E$2:$E$68,MATCH($B5,'Recipe Costs'!$B$2:$B$68,0))</f>
        <v>299.92</v>
      </c>
    </row>
    <row r="6" spans="1:9" ht="210" x14ac:dyDescent="0.2">
      <c r="A6" s="9">
        <v>5</v>
      </c>
      <c r="B6" s="9" t="s">
        <v>18</v>
      </c>
      <c r="C6" s="9" t="s">
        <v>11</v>
      </c>
      <c r="D6" s="9" t="s">
        <v>105</v>
      </c>
      <c r="E6" s="9">
        <v>15</v>
      </c>
      <c r="F6" s="9" t="s">
        <v>106</v>
      </c>
      <c r="G6" s="10" t="s">
        <v>107</v>
      </c>
      <c r="H6" s="11">
        <f>INDEX('Recipe Costs'!$D$2:$D$68,MATCH($B6,'Recipe Costs'!$B$2:$B$68,0))</f>
        <v>233.84318666666667</v>
      </c>
      <c r="I6" s="11">
        <f>INDEX('Recipe Costs'!$E$2:$E$68,MATCH($B6,'Recipe Costs'!$B$2:$B$68,0))</f>
        <v>481.79000000000008</v>
      </c>
    </row>
    <row r="7" spans="1:9" ht="98" x14ac:dyDescent="0.2">
      <c r="A7" s="9">
        <v>6</v>
      </c>
      <c r="B7" s="9" t="s">
        <v>19</v>
      </c>
      <c r="C7" s="9" t="s">
        <v>20</v>
      </c>
      <c r="D7" s="9" t="s">
        <v>108</v>
      </c>
      <c r="E7" s="9">
        <v>7</v>
      </c>
      <c r="F7" s="9" t="s">
        <v>109</v>
      </c>
      <c r="G7" s="10" t="s">
        <v>110</v>
      </c>
      <c r="H7" s="11">
        <f>INDEX('Recipe Costs'!$D$2:$D$68,MATCH($B7,'Recipe Costs'!$B$2:$B$68,0))</f>
        <v>57.216000000000001</v>
      </c>
      <c r="I7" s="11">
        <f>INDEX('Recipe Costs'!$E$2:$E$68,MATCH($B7,'Recipe Costs'!$B$2:$B$68,0))</f>
        <v>261.94</v>
      </c>
    </row>
    <row r="8" spans="1:9" ht="84" x14ac:dyDescent="0.2">
      <c r="A8" s="9">
        <v>7</v>
      </c>
      <c r="B8" s="9" t="s">
        <v>21</v>
      </c>
      <c r="C8" s="9" t="s">
        <v>22</v>
      </c>
      <c r="D8" s="9" t="s">
        <v>111</v>
      </c>
      <c r="E8" s="9">
        <v>6</v>
      </c>
      <c r="F8" s="9" t="s">
        <v>112</v>
      </c>
      <c r="G8" s="10" t="s">
        <v>113</v>
      </c>
      <c r="H8" s="11">
        <f>INDEX('Recipe Costs'!$D$2:$D$68,MATCH($B8,'Recipe Costs'!$B$2:$B$68,0))</f>
        <v>34.320300000000003</v>
      </c>
      <c r="I8" s="11">
        <f>INDEX('Recipe Costs'!$E$2:$E$68,MATCH($B8,'Recipe Costs'!$B$2:$B$68,0))</f>
        <v>163.95000000000002</v>
      </c>
    </row>
    <row r="9" spans="1:9" ht="196" x14ac:dyDescent="0.2">
      <c r="A9" s="9">
        <v>8</v>
      </c>
      <c r="B9" s="9" t="s">
        <v>23</v>
      </c>
      <c r="C9" s="9" t="s">
        <v>11</v>
      </c>
      <c r="D9" s="9" t="s">
        <v>114</v>
      </c>
      <c r="E9" s="9">
        <v>14</v>
      </c>
      <c r="F9" s="9" t="s">
        <v>115</v>
      </c>
      <c r="G9" s="10" t="s">
        <v>116</v>
      </c>
      <c r="H9" s="11">
        <f>INDEX('Recipe Costs'!$D$2:$D$68,MATCH($B9,'Recipe Costs'!$B$2:$B$68,0))</f>
        <v>299.98727000000002</v>
      </c>
      <c r="I9" s="11">
        <f>INDEX('Recipe Costs'!$E$2:$E$68,MATCH($B9,'Recipe Costs'!$B$2:$B$68,0))</f>
        <v>796.88000000000011</v>
      </c>
    </row>
    <row r="10" spans="1:9" ht="84" x14ac:dyDescent="0.2">
      <c r="A10" s="9">
        <v>9</v>
      </c>
      <c r="B10" s="9" t="s">
        <v>24</v>
      </c>
      <c r="C10" s="9" t="s">
        <v>20</v>
      </c>
      <c r="D10" s="9" t="s">
        <v>117</v>
      </c>
      <c r="E10" s="9">
        <v>6</v>
      </c>
      <c r="F10" s="9" t="s">
        <v>118</v>
      </c>
      <c r="G10" s="10" t="s">
        <v>119</v>
      </c>
      <c r="H10" s="11">
        <f>INDEX('Recipe Costs'!$D$2:$D$68,MATCH($B10,'Recipe Costs'!$B$2:$B$68,0))</f>
        <v>49.649899999999995</v>
      </c>
      <c r="I10" s="11">
        <f>INDEX('Recipe Costs'!$E$2:$E$68,MATCH($B10,'Recipe Costs'!$B$2:$B$68,0))</f>
        <v>202.95000000000002</v>
      </c>
    </row>
    <row r="11" spans="1:9" ht="42" x14ac:dyDescent="0.2">
      <c r="A11" s="9">
        <v>10</v>
      </c>
      <c r="B11" s="9" t="s">
        <v>25</v>
      </c>
      <c r="C11" s="9" t="s">
        <v>26</v>
      </c>
      <c r="D11" s="9" t="s">
        <v>120</v>
      </c>
      <c r="E11" s="9">
        <v>3</v>
      </c>
      <c r="F11" s="9" t="s">
        <v>121</v>
      </c>
      <c r="G11" s="10" t="s">
        <v>122</v>
      </c>
      <c r="H11" s="11">
        <f>INDEX('Recipe Costs'!$D$2:$D$68,MATCH($B11,'Recipe Costs'!$B$2:$B$68,0))</f>
        <v>9.8496600000000001</v>
      </c>
      <c r="I11" s="11">
        <f>INDEX('Recipe Costs'!$E$2:$E$68,MATCH($B11,'Recipe Costs'!$B$2:$B$68,0))</f>
        <v>141.97</v>
      </c>
    </row>
    <row r="12" spans="1:9" ht="210" x14ac:dyDescent="0.2">
      <c r="A12" s="9">
        <v>11</v>
      </c>
      <c r="B12" s="9" t="s">
        <v>27</v>
      </c>
      <c r="C12" s="9" t="s">
        <v>11</v>
      </c>
      <c r="D12" s="9" t="s">
        <v>123</v>
      </c>
      <c r="E12" s="9">
        <v>15</v>
      </c>
      <c r="F12" s="9" t="s">
        <v>124</v>
      </c>
      <c r="G12" s="10" t="s">
        <v>125</v>
      </c>
      <c r="H12" s="11">
        <f>INDEX('Recipe Costs'!$D$2:$D$68,MATCH($B12,'Recipe Costs'!$B$2:$B$68,0))</f>
        <v>258.52809333333335</v>
      </c>
      <c r="I12" s="11">
        <f>INDEX('Recipe Costs'!$E$2:$E$68,MATCH($B12,'Recipe Costs'!$B$2:$B$68,0))</f>
        <v>499.7600000000001</v>
      </c>
    </row>
    <row r="13" spans="1:9" ht="112" x14ac:dyDescent="0.2">
      <c r="A13" s="9">
        <v>12</v>
      </c>
      <c r="B13" s="9" t="s">
        <v>28</v>
      </c>
      <c r="C13" s="9" t="s">
        <v>11</v>
      </c>
      <c r="D13" s="9" t="s">
        <v>126</v>
      </c>
      <c r="E13" s="9">
        <v>8</v>
      </c>
      <c r="F13" s="9" t="s">
        <v>127</v>
      </c>
      <c r="G13" s="10" t="s">
        <v>128</v>
      </c>
      <c r="H13" s="11">
        <f>INDEX('Recipe Costs'!$D$2:$D$68,MATCH($B13,'Recipe Costs'!$B$2:$B$68,0))</f>
        <v>248.50150000000005</v>
      </c>
      <c r="I13" s="11">
        <f>INDEX('Recipe Costs'!$E$2:$E$68,MATCH($B13,'Recipe Costs'!$B$2:$B$68,0))</f>
        <v>387.94000000000005</v>
      </c>
    </row>
    <row r="14" spans="1:9" ht="112" x14ac:dyDescent="0.2">
      <c r="A14" s="9">
        <v>13</v>
      </c>
      <c r="B14" s="9" t="s">
        <v>29</v>
      </c>
      <c r="C14" s="9" t="s">
        <v>20</v>
      </c>
      <c r="D14" s="9" t="s">
        <v>129</v>
      </c>
      <c r="E14" s="9">
        <v>8</v>
      </c>
      <c r="F14" s="9" t="s">
        <v>130</v>
      </c>
      <c r="G14" s="10" t="s">
        <v>131</v>
      </c>
      <c r="H14" s="11">
        <f>INDEX('Recipe Costs'!$D$2:$D$68,MATCH($B14,'Recipe Costs'!$B$2:$B$68,0))</f>
        <v>73.897439999999989</v>
      </c>
      <c r="I14" s="11">
        <f>INDEX('Recipe Costs'!$E$2:$E$68,MATCH($B14,'Recipe Costs'!$B$2:$B$68,0))</f>
        <v>372.95</v>
      </c>
    </row>
    <row r="15" spans="1:9" ht="84" x14ac:dyDescent="0.2">
      <c r="A15" s="9">
        <v>14</v>
      </c>
      <c r="B15" s="9" t="s">
        <v>30</v>
      </c>
      <c r="C15" s="9" t="s">
        <v>11</v>
      </c>
      <c r="D15" s="9" t="s">
        <v>132</v>
      </c>
      <c r="E15" s="9">
        <v>6</v>
      </c>
      <c r="F15" s="9" t="s">
        <v>133</v>
      </c>
      <c r="G15" s="10" t="s">
        <v>134</v>
      </c>
      <c r="H15" s="11">
        <f>INDEX('Recipe Costs'!$D$2:$D$68,MATCH($B15,'Recipe Costs'!$B$2:$B$68,0))</f>
        <v>200.94320000000002</v>
      </c>
      <c r="I15" s="11">
        <f>INDEX('Recipe Costs'!$E$2:$E$68,MATCH($B15,'Recipe Costs'!$B$2:$B$68,0))</f>
        <v>313.92</v>
      </c>
    </row>
    <row r="16" spans="1:9" ht="140" x14ac:dyDescent="0.2">
      <c r="A16" s="9">
        <v>15</v>
      </c>
      <c r="B16" s="9" t="s">
        <v>31</v>
      </c>
      <c r="C16" s="9" t="s">
        <v>11</v>
      </c>
      <c r="D16" s="9" t="s">
        <v>135</v>
      </c>
      <c r="E16" s="9">
        <v>9</v>
      </c>
      <c r="F16" s="9" t="s">
        <v>136</v>
      </c>
      <c r="G16" s="10" t="s">
        <v>137</v>
      </c>
      <c r="H16" s="11">
        <f>INDEX('Recipe Costs'!$D$2:$D$68,MATCH($B16,'Recipe Costs'!$B$2:$B$68,0))</f>
        <v>347.14725627906978</v>
      </c>
      <c r="I16" s="11">
        <f>INDEX('Recipe Costs'!$E$2:$E$68,MATCH($B16,'Recipe Costs'!$B$2:$B$68,0))</f>
        <v>593.91000000000008</v>
      </c>
    </row>
    <row r="17" spans="1:9" ht="224" x14ac:dyDescent="0.2">
      <c r="A17" s="9">
        <v>16</v>
      </c>
      <c r="B17" s="9" t="s">
        <v>32</v>
      </c>
      <c r="C17" s="9" t="s">
        <v>11</v>
      </c>
      <c r="D17" s="9" t="s">
        <v>138</v>
      </c>
      <c r="E17" s="9">
        <v>16</v>
      </c>
      <c r="F17" s="9" t="s">
        <v>139</v>
      </c>
      <c r="G17" s="10" t="s">
        <v>140</v>
      </c>
      <c r="H17" s="11">
        <f>INDEX('Recipe Costs'!$D$2:$D$68,MATCH($B17,'Recipe Costs'!$B$2:$B$68,0))</f>
        <v>562.96583333333342</v>
      </c>
      <c r="I17" s="11">
        <f>INDEX('Recipe Costs'!$E$2:$E$68,MATCH($B17,'Recipe Costs'!$B$2:$B$68,0))</f>
        <v>809.73</v>
      </c>
    </row>
    <row r="18" spans="1:9" ht="98" x14ac:dyDescent="0.2">
      <c r="A18" s="9">
        <v>17</v>
      </c>
      <c r="B18" s="9" t="s">
        <v>33</v>
      </c>
      <c r="C18" s="9" t="s">
        <v>17</v>
      </c>
      <c r="D18" s="9" t="s">
        <v>141</v>
      </c>
      <c r="E18" s="9">
        <v>7</v>
      </c>
      <c r="F18" s="9" t="s">
        <v>142</v>
      </c>
      <c r="G18" s="10" t="s">
        <v>143</v>
      </c>
      <c r="H18" s="11">
        <f>INDEX('Recipe Costs'!$D$2:$D$68,MATCH($B18,'Recipe Costs'!$B$2:$B$68,0))</f>
        <v>88.787875</v>
      </c>
      <c r="I18" s="11">
        <f>INDEX('Recipe Costs'!$E$2:$E$68,MATCH($B18,'Recipe Costs'!$B$2:$B$68,0))</f>
        <v>209.95</v>
      </c>
    </row>
    <row r="19" spans="1:9" ht="70" x14ac:dyDescent="0.2">
      <c r="A19" s="9">
        <v>18</v>
      </c>
      <c r="B19" s="9" t="s">
        <v>34</v>
      </c>
      <c r="C19" s="9" t="s">
        <v>22</v>
      </c>
      <c r="D19" s="9" t="s">
        <v>144</v>
      </c>
      <c r="E19" s="9">
        <v>5</v>
      </c>
      <c r="F19" s="9" t="s">
        <v>145</v>
      </c>
      <c r="G19" s="10" t="s">
        <v>146</v>
      </c>
      <c r="H19" s="11">
        <f>INDEX('Recipe Costs'!$D$2:$D$68,MATCH($B19,'Recipe Costs'!$B$2:$B$68,0))</f>
        <v>13.838967142857141</v>
      </c>
      <c r="I19" s="11">
        <f>INDEX('Recipe Costs'!$E$2:$E$68,MATCH($B19,'Recipe Costs'!$B$2:$B$68,0))</f>
        <v>168.95999999999998</v>
      </c>
    </row>
    <row r="20" spans="1:9" ht="154" x14ac:dyDescent="0.2">
      <c r="A20" s="9">
        <v>19</v>
      </c>
      <c r="B20" s="9" t="s">
        <v>35</v>
      </c>
      <c r="C20" s="9" t="s">
        <v>11</v>
      </c>
      <c r="D20" s="9" t="s">
        <v>147</v>
      </c>
      <c r="E20" s="9">
        <v>11</v>
      </c>
      <c r="F20" s="9" t="s">
        <v>148</v>
      </c>
      <c r="G20" s="10" t="s">
        <v>149</v>
      </c>
      <c r="H20" s="11">
        <f>INDEX('Recipe Costs'!$D$2:$D$68,MATCH($B20,'Recipe Costs'!$B$2:$B$68,0))</f>
        <v>205.15375000000003</v>
      </c>
      <c r="I20" s="11">
        <f>INDEX('Recipe Costs'!$E$2:$E$68,MATCH($B20,'Recipe Costs'!$B$2:$B$68,0))</f>
        <v>426.80000000000007</v>
      </c>
    </row>
    <row r="21" spans="1:9" ht="70" x14ac:dyDescent="0.2">
      <c r="A21" s="9">
        <v>20</v>
      </c>
      <c r="B21" s="9" t="s">
        <v>36</v>
      </c>
      <c r="C21" s="9" t="s">
        <v>11</v>
      </c>
      <c r="D21" s="9" t="s">
        <v>150</v>
      </c>
      <c r="E21" s="9">
        <v>5</v>
      </c>
      <c r="F21" s="9" t="s">
        <v>151</v>
      </c>
      <c r="G21" s="10" t="s">
        <v>152</v>
      </c>
      <c r="H21" s="11">
        <f>INDEX('Recipe Costs'!$D$2:$D$68,MATCH($B21,'Recipe Costs'!$B$2:$B$68,0))</f>
        <v>104.68241418439716</v>
      </c>
      <c r="I21" s="11">
        <f>INDEX('Recipe Costs'!$E$2:$E$68,MATCH($B21,'Recipe Costs'!$B$2:$B$68,0))</f>
        <v>264.94</v>
      </c>
    </row>
    <row r="22" spans="1:9" ht="112" x14ac:dyDescent="0.2">
      <c r="A22" s="9">
        <v>21</v>
      </c>
      <c r="B22" s="9" t="s">
        <v>37</v>
      </c>
      <c r="C22" s="9" t="s">
        <v>14</v>
      </c>
      <c r="D22" s="9" t="s">
        <v>153</v>
      </c>
      <c r="E22" s="9">
        <v>8</v>
      </c>
      <c r="F22" s="9" t="s">
        <v>154</v>
      </c>
      <c r="G22" s="10" t="s">
        <v>155</v>
      </c>
      <c r="H22" s="11">
        <f>INDEX('Recipe Costs'!$D$2:$D$68,MATCH($B22,'Recipe Costs'!$B$2:$B$68,0))</f>
        <v>91.996425000000016</v>
      </c>
      <c r="I22" s="11">
        <f>INDEX('Recipe Costs'!$E$2:$E$68,MATCH($B22,'Recipe Costs'!$B$2:$B$68,0))</f>
        <v>256.84000000000003</v>
      </c>
    </row>
    <row r="23" spans="1:9" ht="98" x14ac:dyDescent="0.2">
      <c r="A23" s="9">
        <v>22</v>
      </c>
      <c r="B23" s="9" t="s">
        <v>38</v>
      </c>
      <c r="C23" s="9" t="s">
        <v>11</v>
      </c>
      <c r="D23" s="9" t="s">
        <v>156</v>
      </c>
      <c r="E23" s="9">
        <v>7</v>
      </c>
      <c r="F23" s="9" t="s">
        <v>157</v>
      </c>
      <c r="G23" s="10" t="s">
        <v>158</v>
      </c>
      <c r="H23" s="11">
        <f>INDEX('Recipe Costs'!$D$2:$D$68,MATCH($B23,'Recipe Costs'!$B$2:$B$68,0))</f>
        <v>200.89106666666669</v>
      </c>
      <c r="I23" s="11">
        <f>INDEX('Recipe Costs'!$E$2:$E$68,MATCH($B23,'Recipe Costs'!$B$2:$B$68,0))</f>
        <v>459.85</v>
      </c>
    </row>
    <row r="24" spans="1:9" ht="70" x14ac:dyDescent="0.2">
      <c r="A24" s="9">
        <v>23</v>
      </c>
      <c r="B24" s="9" t="s">
        <v>39</v>
      </c>
      <c r="C24" s="9" t="s">
        <v>11</v>
      </c>
      <c r="D24" s="9" t="s">
        <v>159</v>
      </c>
      <c r="E24" s="9">
        <v>5</v>
      </c>
      <c r="F24" s="9" t="s">
        <v>160</v>
      </c>
      <c r="G24" s="10" t="s">
        <v>161</v>
      </c>
      <c r="H24" s="11">
        <f>INDEX('Recipe Costs'!$D$2:$D$68,MATCH($B24,'Recipe Costs'!$B$2:$B$68,0))</f>
        <v>186.48099999999999</v>
      </c>
      <c r="I24" s="11">
        <f>INDEX('Recipe Costs'!$E$2:$E$68,MATCH($B24,'Recipe Costs'!$B$2:$B$68,0))</f>
        <v>275.46000000000004</v>
      </c>
    </row>
    <row r="25" spans="1:9" ht="56" x14ac:dyDescent="0.2">
      <c r="A25" s="9">
        <v>24</v>
      </c>
      <c r="B25" s="9" t="s">
        <v>40</v>
      </c>
      <c r="C25" s="9" t="s">
        <v>11</v>
      </c>
      <c r="D25" s="9" t="s">
        <v>162</v>
      </c>
      <c r="E25" s="9">
        <v>4</v>
      </c>
      <c r="F25" s="9" t="s">
        <v>163</v>
      </c>
      <c r="G25" s="10" t="s">
        <v>164</v>
      </c>
      <c r="H25" s="11">
        <f>INDEX('Recipe Costs'!$D$2:$D$68,MATCH($B25,'Recipe Costs'!$B$2:$B$68,0))</f>
        <v>202.97219999999999</v>
      </c>
      <c r="I25" s="11">
        <f>INDEX('Recipe Costs'!$E$2:$E$68,MATCH($B25,'Recipe Costs'!$B$2:$B$68,0))</f>
        <v>246.96</v>
      </c>
    </row>
    <row r="26" spans="1:9" ht="70" x14ac:dyDescent="0.2">
      <c r="A26" s="9">
        <v>25</v>
      </c>
      <c r="B26" s="9" t="s">
        <v>41</v>
      </c>
      <c r="C26" s="9" t="s">
        <v>11</v>
      </c>
      <c r="D26" s="9" t="s">
        <v>165</v>
      </c>
      <c r="E26" s="9">
        <v>5</v>
      </c>
      <c r="F26" s="9" t="s">
        <v>166</v>
      </c>
      <c r="G26" s="10" t="s">
        <v>167</v>
      </c>
      <c r="H26" s="11">
        <f>INDEX('Recipe Costs'!$D$2:$D$68,MATCH($B26,'Recipe Costs'!$B$2:$B$68,0))</f>
        <v>241.96300000000002</v>
      </c>
      <c r="I26" s="11">
        <f>INDEX('Recipe Costs'!$E$2:$E$68,MATCH($B26,'Recipe Costs'!$B$2:$B$68,0))</f>
        <v>289.95000000000005</v>
      </c>
    </row>
    <row r="27" spans="1:9" ht="154" x14ac:dyDescent="0.2">
      <c r="A27" s="9">
        <v>26</v>
      </c>
      <c r="B27" s="9" t="s">
        <v>42</v>
      </c>
      <c r="C27" s="9" t="s">
        <v>11</v>
      </c>
      <c r="D27" s="9" t="s">
        <v>168</v>
      </c>
      <c r="E27" s="9">
        <v>11</v>
      </c>
      <c r="F27" s="9" t="s">
        <v>169</v>
      </c>
      <c r="G27" s="10" t="s">
        <v>170</v>
      </c>
      <c r="H27" s="11">
        <f>INDEX('Recipe Costs'!$D$2:$D$68,MATCH($B27,'Recipe Costs'!$B$2:$B$68,0))</f>
        <v>251.53852727272726</v>
      </c>
      <c r="I27" s="11">
        <f>INDEX('Recipe Costs'!$E$2:$E$68,MATCH($B27,'Recipe Costs'!$B$2:$B$68,0))</f>
        <v>578.7600000000001</v>
      </c>
    </row>
    <row r="28" spans="1:9" ht="112" x14ac:dyDescent="0.2">
      <c r="A28" s="9">
        <v>27</v>
      </c>
      <c r="B28" s="9" t="s">
        <v>43</v>
      </c>
      <c r="C28" s="9" t="s">
        <v>11</v>
      </c>
      <c r="D28" s="9" t="s">
        <v>171</v>
      </c>
      <c r="E28" s="9">
        <v>8</v>
      </c>
      <c r="F28" s="9" t="s">
        <v>172</v>
      </c>
      <c r="G28" s="10" t="s">
        <v>173</v>
      </c>
      <c r="H28" s="11">
        <f>INDEX('Recipe Costs'!$D$2:$D$68,MATCH($B28,'Recipe Costs'!$B$2:$B$68,0))</f>
        <v>232.56517500000001</v>
      </c>
      <c r="I28" s="11">
        <f>INDEX('Recipe Costs'!$E$2:$E$68,MATCH($B28,'Recipe Costs'!$B$2:$B$68,0))</f>
        <v>424.83000000000004</v>
      </c>
    </row>
    <row r="29" spans="1:9" ht="70" x14ac:dyDescent="0.2">
      <c r="A29" s="9">
        <v>28</v>
      </c>
      <c r="B29" s="9" t="s">
        <v>44</v>
      </c>
      <c r="C29" s="9" t="s">
        <v>11</v>
      </c>
      <c r="D29" s="9" t="s">
        <v>174</v>
      </c>
      <c r="E29" s="9">
        <v>5</v>
      </c>
      <c r="F29" s="9" t="s">
        <v>175</v>
      </c>
      <c r="G29" s="10" t="s">
        <v>176</v>
      </c>
      <c r="H29" s="11">
        <f>INDEX('Recipe Costs'!$D$2:$D$68,MATCH($B29,'Recipe Costs'!$B$2:$B$68,0))</f>
        <v>254.16646666666668</v>
      </c>
      <c r="I29" s="11">
        <f>INDEX('Recipe Costs'!$E$2:$E$68,MATCH($B29,'Recipe Costs'!$B$2:$B$68,0))</f>
        <v>327.95</v>
      </c>
    </row>
    <row r="30" spans="1:9" ht="196" x14ac:dyDescent="0.2">
      <c r="A30" s="9">
        <v>29</v>
      </c>
      <c r="B30" s="9" t="s">
        <v>45</v>
      </c>
      <c r="C30" s="9" t="s">
        <v>17</v>
      </c>
      <c r="D30" s="9" t="s">
        <v>177</v>
      </c>
      <c r="E30" s="9">
        <v>14</v>
      </c>
      <c r="F30" s="9" t="s">
        <v>178</v>
      </c>
      <c r="G30" s="10" t="s">
        <v>179</v>
      </c>
      <c r="H30" s="11">
        <f>INDEX('Recipe Costs'!$D$2:$D$68,MATCH($B30,'Recipe Costs'!$B$2:$B$68,0))</f>
        <v>690.59296666666671</v>
      </c>
      <c r="I30" s="11">
        <f>INDEX('Recipe Costs'!$E$2:$E$68,MATCH($B30,'Recipe Costs'!$B$2:$B$68,0))</f>
        <v>883.84</v>
      </c>
    </row>
    <row r="31" spans="1:9" ht="42" x14ac:dyDescent="0.2">
      <c r="A31" s="9">
        <v>30</v>
      </c>
      <c r="B31" s="9" t="s">
        <v>46</v>
      </c>
      <c r="C31" s="9" t="s">
        <v>22</v>
      </c>
      <c r="D31" s="9" t="s">
        <v>180</v>
      </c>
      <c r="E31" s="9">
        <v>3</v>
      </c>
      <c r="F31" s="9" t="s">
        <v>181</v>
      </c>
      <c r="G31" s="10" t="s">
        <v>182</v>
      </c>
      <c r="H31" s="11">
        <f>INDEX('Recipe Costs'!$D$2:$D$68,MATCH($B31,'Recipe Costs'!$B$2:$B$68,0))</f>
        <v>93.299999999999983</v>
      </c>
      <c r="I31" s="11">
        <f>INDEX('Recipe Costs'!$E$2:$E$68,MATCH($B31,'Recipe Costs'!$B$2:$B$68,0))</f>
        <v>111.96</v>
      </c>
    </row>
    <row r="32" spans="1:9" ht="70" x14ac:dyDescent="0.2">
      <c r="A32" s="9">
        <v>31</v>
      </c>
      <c r="B32" s="9" t="s">
        <v>47</v>
      </c>
      <c r="C32" s="9" t="s">
        <v>48</v>
      </c>
      <c r="D32" s="9" t="s">
        <v>183</v>
      </c>
      <c r="E32" s="9">
        <v>5</v>
      </c>
      <c r="F32" s="9" t="s">
        <v>184</v>
      </c>
      <c r="G32" s="10" t="s">
        <v>185</v>
      </c>
      <c r="H32" s="11">
        <f>INDEX('Recipe Costs'!$D$2:$D$68,MATCH($B32,'Recipe Costs'!$B$2:$B$68,0))</f>
        <v>75.120800000000003</v>
      </c>
      <c r="I32" s="11">
        <f>INDEX('Recipe Costs'!$E$2:$E$68,MATCH($B32,'Recipe Costs'!$B$2:$B$68,0))</f>
        <v>234.95</v>
      </c>
    </row>
    <row r="33" spans="1:9" ht="140" x14ac:dyDescent="0.2">
      <c r="A33" s="9">
        <v>32</v>
      </c>
      <c r="B33" s="9" t="s">
        <v>49</v>
      </c>
      <c r="C33" s="9" t="s">
        <v>50</v>
      </c>
      <c r="D33" s="9" t="s">
        <v>186</v>
      </c>
      <c r="E33" s="9">
        <v>10</v>
      </c>
      <c r="F33" s="9" t="s">
        <v>187</v>
      </c>
      <c r="G33" s="10" t="s">
        <v>188</v>
      </c>
      <c r="H33" s="11">
        <f>INDEX('Recipe Costs'!$D$2:$D$68,MATCH($B33,'Recipe Costs'!$B$2:$B$68,0))</f>
        <v>244.93038571428573</v>
      </c>
      <c r="I33" s="11">
        <f>INDEX('Recipe Costs'!$E$2:$E$68,MATCH($B33,'Recipe Costs'!$B$2:$B$68,0))</f>
        <v>393.78000000000009</v>
      </c>
    </row>
    <row r="34" spans="1:9" ht="70" x14ac:dyDescent="0.2">
      <c r="A34" s="9">
        <v>33</v>
      </c>
      <c r="B34" s="9" t="s">
        <v>51</v>
      </c>
      <c r="C34" s="9" t="s">
        <v>14</v>
      </c>
      <c r="D34" s="9" t="s">
        <v>189</v>
      </c>
      <c r="E34" s="9">
        <v>5</v>
      </c>
      <c r="F34" s="9" t="s">
        <v>190</v>
      </c>
      <c r="G34" s="10" t="s">
        <v>191</v>
      </c>
      <c r="H34" s="11">
        <f>INDEX('Recipe Costs'!$D$2:$D$68,MATCH($B34,'Recipe Costs'!$B$2:$B$68,0))</f>
        <v>72.63336000000001</v>
      </c>
      <c r="I34" s="11">
        <f>INDEX('Recipe Costs'!$E$2:$E$68,MATCH($B34,'Recipe Costs'!$B$2:$B$68,0))</f>
        <v>328.96000000000004</v>
      </c>
    </row>
    <row r="35" spans="1:9" ht="70" x14ac:dyDescent="0.2">
      <c r="A35" s="9">
        <v>34</v>
      </c>
      <c r="B35" s="9" t="s">
        <v>52</v>
      </c>
      <c r="C35" s="9" t="s">
        <v>14</v>
      </c>
      <c r="D35" s="9" t="s">
        <v>192</v>
      </c>
      <c r="E35" s="9">
        <v>5</v>
      </c>
      <c r="F35" s="9" t="s">
        <v>193</v>
      </c>
      <c r="G35" s="10" t="s">
        <v>194</v>
      </c>
      <c r="H35" s="11">
        <f>INDEX('Recipe Costs'!$D$2:$D$68,MATCH($B35,'Recipe Costs'!$B$2:$B$68,0))</f>
        <v>103.57083333333333</v>
      </c>
      <c r="I35" s="11">
        <f>INDEX('Recipe Costs'!$E$2:$E$68,MATCH($B35,'Recipe Costs'!$B$2:$B$68,0))</f>
        <v>148.89000000000001</v>
      </c>
    </row>
    <row r="36" spans="1:9" ht="140" x14ac:dyDescent="0.2">
      <c r="A36" s="9">
        <v>35</v>
      </c>
      <c r="B36" s="9" t="s">
        <v>53</v>
      </c>
      <c r="C36" s="9" t="s">
        <v>54</v>
      </c>
      <c r="D36" s="9" t="s">
        <v>195</v>
      </c>
      <c r="E36" s="9">
        <v>10</v>
      </c>
      <c r="F36" s="9" t="s">
        <v>196</v>
      </c>
      <c r="G36" s="10" t="s">
        <v>197</v>
      </c>
      <c r="H36" s="11">
        <f>INDEX('Recipe Costs'!$D$2:$D$68,MATCH($B36,'Recipe Costs'!$B$2:$B$68,0))</f>
        <v>111.0733</v>
      </c>
      <c r="I36" s="11">
        <f>INDEX('Recipe Costs'!$E$2:$E$68,MATCH($B36,'Recipe Costs'!$B$2:$B$68,0))</f>
        <v>303.58000000000004</v>
      </c>
    </row>
    <row r="37" spans="1:9" ht="182" x14ac:dyDescent="0.2">
      <c r="A37" s="9">
        <v>36</v>
      </c>
      <c r="B37" s="9" t="s">
        <v>55</v>
      </c>
      <c r="C37" s="9" t="s">
        <v>48</v>
      </c>
      <c r="D37" s="9" t="s">
        <v>198</v>
      </c>
      <c r="E37" s="9">
        <v>13</v>
      </c>
      <c r="F37" s="9" t="s">
        <v>199</v>
      </c>
      <c r="G37" s="10" t="s">
        <v>200</v>
      </c>
      <c r="H37" s="11">
        <f>INDEX('Recipe Costs'!$D$2:$D$68,MATCH($B37,'Recipe Costs'!$B$2:$B$68,0))</f>
        <v>88.058271515151503</v>
      </c>
      <c r="I37" s="11">
        <f>INDEX('Recipe Costs'!$E$2:$E$68,MATCH($B37,'Recipe Costs'!$B$2:$B$68,0))</f>
        <v>412.89000000000004</v>
      </c>
    </row>
    <row r="38" spans="1:9" ht="154" x14ac:dyDescent="0.2">
      <c r="A38" s="9">
        <v>37</v>
      </c>
      <c r="B38" s="9" t="s">
        <v>56</v>
      </c>
      <c r="C38" s="9" t="s">
        <v>50</v>
      </c>
      <c r="D38" s="9" t="s">
        <v>201</v>
      </c>
      <c r="E38" s="9">
        <v>11</v>
      </c>
      <c r="F38" s="9" t="s">
        <v>202</v>
      </c>
      <c r="G38" s="10" t="s">
        <v>203</v>
      </c>
      <c r="H38" s="11">
        <f>INDEX('Recipe Costs'!$D$2:$D$68,MATCH($B38,'Recipe Costs'!$B$2:$B$68,0))</f>
        <v>73.253366666666679</v>
      </c>
      <c r="I38" s="11">
        <f>INDEX('Recipe Costs'!$E$2:$E$68,MATCH($B38,'Recipe Costs'!$B$2:$B$68,0))</f>
        <v>426.89000000000004</v>
      </c>
    </row>
    <row r="39" spans="1:9" ht="224" x14ac:dyDescent="0.2">
      <c r="A39" s="9">
        <v>38</v>
      </c>
      <c r="B39" s="9" t="s">
        <v>57</v>
      </c>
      <c r="C39" s="9" t="s">
        <v>11</v>
      </c>
      <c r="D39" s="9" t="s">
        <v>204</v>
      </c>
      <c r="E39" s="9">
        <v>15</v>
      </c>
      <c r="F39" s="9" t="s">
        <v>205</v>
      </c>
      <c r="G39" s="10" t="s">
        <v>206</v>
      </c>
      <c r="H39" s="11">
        <f>INDEX('Recipe Costs'!$D$2:$D$68,MATCH($B39,'Recipe Costs'!$B$2:$B$68,0))</f>
        <v>283.7864151515152</v>
      </c>
      <c r="I39" s="11">
        <f>INDEX('Recipe Costs'!$E$2:$E$68,MATCH($B39,'Recipe Costs'!$B$2:$B$68,0))</f>
        <v>643.74000000000012</v>
      </c>
    </row>
    <row r="40" spans="1:9" ht="168" x14ac:dyDescent="0.2">
      <c r="A40" s="9">
        <v>39</v>
      </c>
      <c r="B40" s="9" t="s">
        <v>58</v>
      </c>
      <c r="C40" s="9" t="s">
        <v>11</v>
      </c>
      <c r="D40" s="9" t="s">
        <v>207</v>
      </c>
      <c r="E40" s="9">
        <v>12</v>
      </c>
      <c r="F40" s="9" t="s">
        <v>208</v>
      </c>
      <c r="G40" s="10" t="s">
        <v>209</v>
      </c>
      <c r="H40" s="11">
        <f>INDEX('Recipe Costs'!$D$2:$D$68,MATCH($B40,'Recipe Costs'!$B$2:$B$68,0))</f>
        <v>207.07778000000002</v>
      </c>
      <c r="I40" s="11">
        <f>INDEX('Recipe Costs'!$E$2:$E$68,MATCH($B40,'Recipe Costs'!$B$2:$B$68,0))</f>
        <v>671.88000000000011</v>
      </c>
    </row>
    <row r="41" spans="1:9" ht="182" x14ac:dyDescent="0.2">
      <c r="A41" s="9">
        <v>40</v>
      </c>
      <c r="B41" s="9" t="s">
        <v>59</v>
      </c>
      <c r="C41" s="9" t="s">
        <v>14</v>
      </c>
      <c r="D41" s="9" t="s">
        <v>210</v>
      </c>
      <c r="E41" s="9">
        <v>13</v>
      </c>
      <c r="F41" s="9" t="s">
        <v>211</v>
      </c>
      <c r="G41" s="10" t="s">
        <v>212</v>
      </c>
      <c r="H41" s="11">
        <f>INDEX('Recipe Costs'!$D$2:$D$68,MATCH($B41,'Recipe Costs'!$B$2:$B$68,0))</f>
        <v>248.12929021276597</v>
      </c>
      <c r="I41" s="11">
        <f>INDEX('Recipe Costs'!$E$2:$E$68,MATCH($B41,'Recipe Costs'!$B$2:$B$68,0))</f>
        <v>629.89</v>
      </c>
    </row>
    <row r="42" spans="1:9" ht="112" x14ac:dyDescent="0.2">
      <c r="A42" s="9">
        <v>41</v>
      </c>
      <c r="B42" s="9" t="s">
        <v>60</v>
      </c>
      <c r="C42" s="9" t="s">
        <v>22</v>
      </c>
      <c r="D42" s="9" t="s">
        <v>213</v>
      </c>
      <c r="E42" s="9">
        <v>8</v>
      </c>
      <c r="F42" s="9" t="s">
        <v>214</v>
      </c>
      <c r="G42" s="10" t="s">
        <v>215</v>
      </c>
      <c r="H42" s="11">
        <f>INDEX('Recipe Costs'!$D$2:$D$68,MATCH($B42,'Recipe Costs'!$B$2:$B$68,0))</f>
        <v>30.908121212121213</v>
      </c>
      <c r="I42" s="11">
        <f>INDEX('Recipe Costs'!$E$2:$E$68,MATCH($B42,'Recipe Costs'!$B$2:$B$68,0))</f>
        <v>258.94</v>
      </c>
    </row>
    <row r="43" spans="1:9" ht="154" x14ac:dyDescent="0.2">
      <c r="A43" s="9">
        <v>42</v>
      </c>
      <c r="B43" s="9" t="s">
        <v>61</v>
      </c>
      <c r="C43" s="9" t="s">
        <v>11</v>
      </c>
      <c r="D43" s="9" t="s">
        <v>216</v>
      </c>
      <c r="E43" s="9">
        <v>11</v>
      </c>
      <c r="F43" s="9" t="s">
        <v>217</v>
      </c>
      <c r="G43" s="10" t="s">
        <v>218</v>
      </c>
      <c r="H43" s="11">
        <f>INDEX('Recipe Costs'!$D$2:$D$68,MATCH($B43,'Recipe Costs'!$B$2:$B$68,0))</f>
        <v>169.06483191489363</v>
      </c>
      <c r="I43" s="11">
        <f>INDEX('Recipe Costs'!$E$2:$E$68,MATCH($B43,'Recipe Costs'!$B$2:$B$68,0))</f>
        <v>429.74000000000007</v>
      </c>
    </row>
    <row r="44" spans="1:9" ht="28" x14ac:dyDescent="0.2">
      <c r="A44" s="9">
        <v>43</v>
      </c>
      <c r="B44" s="9" t="s">
        <v>62</v>
      </c>
      <c r="C44" s="9" t="s">
        <v>63</v>
      </c>
      <c r="D44" s="9" t="s">
        <v>219</v>
      </c>
      <c r="E44" s="9">
        <v>2</v>
      </c>
      <c r="F44" s="9" t="s">
        <v>220</v>
      </c>
      <c r="G44" s="10" t="s">
        <v>221</v>
      </c>
      <c r="H44" s="11">
        <f>INDEX('Recipe Costs'!$D$2:$D$68,MATCH($B44,'Recipe Costs'!$B$2:$B$68,0))</f>
        <v>111.97999999999999</v>
      </c>
      <c r="I44" s="11">
        <f>INDEX('Recipe Costs'!$E$2:$E$68,MATCH($B44,'Recipe Costs'!$B$2:$B$68,0))</f>
        <v>111.97999999999999</v>
      </c>
    </row>
    <row r="45" spans="1:9" ht="182" x14ac:dyDescent="0.2">
      <c r="A45" s="9">
        <v>44</v>
      </c>
      <c r="B45" s="9" t="s">
        <v>64</v>
      </c>
      <c r="C45" s="9" t="s">
        <v>11</v>
      </c>
      <c r="D45" s="9" t="s">
        <v>222</v>
      </c>
      <c r="E45" s="9">
        <v>13</v>
      </c>
      <c r="F45" s="9" t="s">
        <v>223</v>
      </c>
      <c r="G45" s="10" t="s">
        <v>224</v>
      </c>
      <c r="H45" s="11">
        <f>INDEX('Recipe Costs'!$D$2:$D$68,MATCH($B45,'Recipe Costs'!$B$2:$B$68,0))</f>
        <v>233.3913</v>
      </c>
      <c r="I45" s="11">
        <f>INDEX('Recipe Costs'!$E$2:$E$68,MATCH($B45,'Recipe Costs'!$B$2:$B$68,0))</f>
        <v>544.69000000000005</v>
      </c>
    </row>
    <row r="46" spans="1:9" ht="56" x14ac:dyDescent="0.2">
      <c r="A46" s="9">
        <v>45</v>
      </c>
      <c r="B46" s="9" t="s">
        <v>65</v>
      </c>
      <c r="C46" s="9" t="s">
        <v>14</v>
      </c>
      <c r="D46" s="9" t="s">
        <v>225</v>
      </c>
      <c r="E46" s="9">
        <v>4</v>
      </c>
      <c r="F46" s="9" t="s">
        <v>226</v>
      </c>
      <c r="G46" s="10" t="s">
        <v>227</v>
      </c>
      <c r="H46" s="11">
        <f>INDEX('Recipe Costs'!$D$2:$D$68,MATCH($B46,'Recipe Costs'!$B$2:$B$68,0))</f>
        <v>30.892379999999999</v>
      </c>
      <c r="I46" s="11">
        <f>INDEX('Recipe Costs'!$E$2:$E$68,MATCH($B46,'Recipe Costs'!$B$2:$B$68,0))</f>
        <v>264.97000000000003</v>
      </c>
    </row>
    <row r="47" spans="1:9" ht="112" x14ac:dyDescent="0.2">
      <c r="A47" s="9">
        <v>46</v>
      </c>
      <c r="B47" s="9" t="s">
        <v>66</v>
      </c>
      <c r="C47" s="9" t="s">
        <v>17</v>
      </c>
      <c r="D47" s="9" t="s">
        <v>228</v>
      </c>
      <c r="E47" s="9">
        <v>8</v>
      </c>
      <c r="F47" s="9" t="s">
        <v>229</v>
      </c>
      <c r="G47" s="10" t="s">
        <v>230</v>
      </c>
      <c r="H47" s="11">
        <f>INDEX('Recipe Costs'!$D$2:$D$68,MATCH($B47,'Recipe Costs'!$B$2:$B$68,0))</f>
        <v>112.2456</v>
      </c>
      <c r="I47" s="11">
        <f>INDEX('Recipe Costs'!$E$2:$E$68,MATCH($B47,'Recipe Costs'!$B$2:$B$68,0))</f>
        <v>447.92</v>
      </c>
    </row>
    <row r="48" spans="1:9" ht="70" x14ac:dyDescent="0.2">
      <c r="A48" s="9">
        <v>47</v>
      </c>
      <c r="B48" s="9" t="s">
        <v>67</v>
      </c>
      <c r="C48" s="9" t="s">
        <v>11</v>
      </c>
      <c r="D48" s="9" t="s">
        <v>231</v>
      </c>
      <c r="E48" s="9">
        <v>5</v>
      </c>
      <c r="F48" s="9" t="s">
        <v>232</v>
      </c>
      <c r="G48" s="10" t="s">
        <v>233</v>
      </c>
      <c r="H48" s="11">
        <f>INDEX('Recipe Costs'!$D$2:$D$68,MATCH($B48,'Recipe Costs'!$B$2:$B$68,0))</f>
        <v>209.40234000000001</v>
      </c>
      <c r="I48" s="11">
        <f>INDEX('Recipe Costs'!$E$2:$E$68,MATCH($B48,'Recipe Costs'!$B$2:$B$68,0))</f>
        <v>335.95000000000005</v>
      </c>
    </row>
    <row r="49" spans="1:9" ht="126" x14ac:dyDescent="0.2">
      <c r="A49" s="9">
        <v>48</v>
      </c>
      <c r="B49" s="9" t="s">
        <v>68</v>
      </c>
      <c r="C49" s="9" t="s">
        <v>22</v>
      </c>
      <c r="D49" s="9" t="s">
        <v>234</v>
      </c>
      <c r="E49" s="9">
        <v>9</v>
      </c>
      <c r="F49" s="9" t="s">
        <v>235</v>
      </c>
      <c r="G49" s="10" t="s">
        <v>236</v>
      </c>
      <c r="H49" s="11">
        <f>INDEX('Recipe Costs'!$D$2:$D$68,MATCH($B49,'Recipe Costs'!$B$2:$B$68,0))</f>
        <v>110.10231</v>
      </c>
      <c r="I49" s="11">
        <f>INDEX('Recipe Costs'!$E$2:$E$68,MATCH($B49,'Recipe Costs'!$B$2:$B$68,0))</f>
        <v>271.90000000000003</v>
      </c>
    </row>
    <row r="50" spans="1:9" ht="182" x14ac:dyDescent="0.2">
      <c r="A50" s="9">
        <v>49</v>
      </c>
      <c r="B50" s="9" t="s">
        <v>69</v>
      </c>
      <c r="C50" s="9" t="s">
        <v>50</v>
      </c>
      <c r="D50" s="9" t="s">
        <v>237</v>
      </c>
      <c r="E50" s="9">
        <v>13</v>
      </c>
      <c r="F50" s="9" t="s">
        <v>238</v>
      </c>
      <c r="G50" s="10" t="s">
        <v>239</v>
      </c>
      <c r="H50" s="11">
        <f>INDEX('Recipe Costs'!$D$2:$D$68,MATCH($B50,'Recipe Costs'!$B$2:$B$68,0))</f>
        <v>372.13008571428571</v>
      </c>
      <c r="I50" s="11">
        <f>INDEX('Recipe Costs'!$E$2:$E$68,MATCH($B50,'Recipe Costs'!$B$2:$B$68,0))</f>
        <v>598.86</v>
      </c>
    </row>
    <row r="51" spans="1:9" ht="70" x14ac:dyDescent="0.2">
      <c r="A51" s="9">
        <v>50</v>
      </c>
      <c r="B51" s="9" t="s">
        <v>70</v>
      </c>
      <c r="C51" s="9" t="s">
        <v>63</v>
      </c>
      <c r="D51" s="9" t="s">
        <v>240</v>
      </c>
      <c r="E51" s="9">
        <v>5</v>
      </c>
      <c r="F51" s="9" t="s">
        <v>241</v>
      </c>
      <c r="G51" s="10" t="s">
        <v>242</v>
      </c>
      <c r="H51" s="11">
        <f>INDEX('Recipe Costs'!$D$2:$D$68,MATCH($B51,'Recipe Costs'!$B$2:$B$68,0))</f>
        <v>103.63674999999999</v>
      </c>
      <c r="I51" s="11">
        <f>INDEX('Recipe Costs'!$E$2:$E$68,MATCH($B51,'Recipe Costs'!$B$2:$B$68,0))</f>
        <v>218.94000000000003</v>
      </c>
    </row>
    <row r="52" spans="1:9" ht="168" x14ac:dyDescent="0.2">
      <c r="A52" s="9">
        <v>51</v>
      </c>
      <c r="B52" s="9" t="s">
        <v>71</v>
      </c>
      <c r="C52" s="9" t="s">
        <v>48</v>
      </c>
      <c r="D52" s="9" t="s">
        <v>243</v>
      </c>
      <c r="E52" s="9">
        <v>12</v>
      </c>
      <c r="F52" s="9" t="s">
        <v>244</v>
      </c>
      <c r="G52" s="10" t="s">
        <v>245</v>
      </c>
      <c r="H52" s="11">
        <f>INDEX('Recipe Costs'!$D$2:$D$68,MATCH($B52,'Recipe Costs'!$B$2:$B$68,0))</f>
        <v>73.520001666666673</v>
      </c>
      <c r="I52" s="11">
        <f>INDEX('Recipe Costs'!$E$2:$E$68,MATCH($B52,'Recipe Costs'!$B$2:$B$68,0))</f>
        <v>407.89000000000004</v>
      </c>
    </row>
    <row r="53" spans="1:9" ht="70" x14ac:dyDescent="0.2">
      <c r="A53" s="9">
        <v>52</v>
      </c>
      <c r="B53" s="9" t="s">
        <v>72</v>
      </c>
      <c r="C53" s="9" t="s">
        <v>63</v>
      </c>
      <c r="D53" s="9" t="s">
        <v>246</v>
      </c>
      <c r="E53" s="9">
        <v>5</v>
      </c>
      <c r="F53" s="9" t="s">
        <v>247</v>
      </c>
      <c r="G53" s="10" t="s">
        <v>248</v>
      </c>
      <c r="H53" s="11">
        <f>INDEX('Recipe Costs'!$D$2:$D$68,MATCH($B53,'Recipe Costs'!$B$2:$B$68,0))</f>
        <v>34.871766666666666</v>
      </c>
      <c r="I53" s="11">
        <f>INDEX('Recipe Costs'!$E$2:$E$68,MATCH($B53,'Recipe Costs'!$B$2:$B$68,0))</f>
        <v>226.95000000000002</v>
      </c>
    </row>
    <row r="54" spans="1:9" ht="84" x14ac:dyDescent="0.2">
      <c r="A54" s="9">
        <v>53</v>
      </c>
      <c r="B54" s="9" t="s">
        <v>73</v>
      </c>
      <c r="C54" s="9" t="s">
        <v>63</v>
      </c>
      <c r="D54" s="9" t="s">
        <v>249</v>
      </c>
      <c r="E54" s="9">
        <v>6</v>
      </c>
      <c r="F54" s="9" t="s">
        <v>247</v>
      </c>
      <c r="G54" s="10" t="s">
        <v>248</v>
      </c>
      <c r="H54" s="11">
        <f>INDEX('Recipe Costs'!$D$2:$D$68,MATCH($B54,'Recipe Costs'!$B$2:$B$68,0))</f>
        <v>66.966600000000014</v>
      </c>
      <c r="I54" s="11">
        <f>INDEX('Recipe Costs'!$E$2:$E$68,MATCH($B54,'Recipe Costs'!$B$2:$B$68,0))</f>
        <v>261.95</v>
      </c>
    </row>
    <row r="55" spans="1:9" ht="70" x14ac:dyDescent="0.2">
      <c r="A55" s="9">
        <v>54</v>
      </c>
      <c r="B55" s="9" t="s">
        <v>74</v>
      </c>
      <c r="C55" s="9" t="s">
        <v>63</v>
      </c>
      <c r="D55" s="9" t="s">
        <v>250</v>
      </c>
      <c r="E55" s="9">
        <v>5</v>
      </c>
      <c r="F55" s="9" t="s">
        <v>247</v>
      </c>
      <c r="G55" s="10" t="s">
        <v>248</v>
      </c>
      <c r="H55" s="11">
        <f>INDEX('Recipe Costs'!$D$2:$D$68,MATCH($B55,'Recipe Costs'!$B$2:$B$68,0))</f>
        <v>49.714733333333328</v>
      </c>
      <c r="I55" s="11">
        <f>INDEX('Recipe Costs'!$E$2:$E$68,MATCH($B55,'Recipe Costs'!$B$2:$B$68,0))</f>
        <v>215.95000000000002</v>
      </c>
    </row>
    <row r="56" spans="1:9" ht="70" x14ac:dyDescent="0.2">
      <c r="A56" s="9">
        <v>55</v>
      </c>
      <c r="B56" s="9" t="s">
        <v>75</v>
      </c>
      <c r="C56" s="9" t="s">
        <v>14</v>
      </c>
      <c r="D56" s="9" t="s">
        <v>251</v>
      </c>
      <c r="E56" s="9">
        <v>5</v>
      </c>
      <c r="F56" s="9" t="s">
        <v>252</v>
      </c>
      <c r="G56" s="10" t="s">
        <v>253</v>
      </c>
      <c r="H56" s="11">
        <f>INDEX('Recipe Costs'!$D$2:$D$68,MATCH($B56,'Recipe Costs'!$B$2:$B$68,0))</f>
        <v>66.914280000000005</v>
      </c>
      <c r="I56" s="11">
        <f>INDEX('Recipe Costs'!$E$2:$E$68,MATCH($B56,'Recipe Costs'!$B$2:$B$68,0))</f>
        <v>375.89</v>
      </c>
    </row>
    <row r="57" spans="1:9" ht="84" x14ac:dyDescent="0.2">
      <c r="A57" s="9">
        <v>56</v>
      </c>
      <c r="B57" s="9" t="s">
        <v>76</v>
      </c>
      <c r="C57" s="9" t="s">
        <v>48</v>
      </c>
      <c r="D57" s="9" t="s">
        <v>254</v>
      </c>
      <c r="E57" s="9">
        <v>6</v>
      </c>
      <c r="F57" s="9" t="s">
        <v>255</v>
      </c>
      <c r="G57" s="10" t="s">
        <v>256</v>
      </c>
      <c r="H57" s="11">
        <f>INDEX('Recipe Costs'!$D$2:$D$68,MATCH($B57,'Recipe Costs'!$B$2:$B$68,0))</f>
        <v>227.72301111111111</v>
      </c>
      <c r="I57" s="11">
        <f>INDEX('Recipe Costs'!$E$2:$E$68,MATCH($B57,'Recipe Costs'!$B$2:$B$68,0))</f>
        <v>425.91</v>
      </c>
    </row>
    <row r="58" spans="1:9" ht="84" x14ac:dyDescent="0.2">
      <c r="A58" s="9">
        <v>57</v>
      </c>
      <c r="B58" s="9" t="s">
        <v>77</v>
      </c>
      <c r="C58" s="9" t="s">
        <v>11</v>
      </c>
      <c r="D58" s="9" t="s">
        <v>257</v>
      </c>
      <c r="E58" s="9">
        <v>6</v>
      </c>
      <c r="F58" s="9" t="s">
        <v>258</v>
      </c>
      <c r="G58" s="10" t="s">
        <v>259</v>
      </c>
      <c r="H58" s="11">
        <f>INDEX('Recipe Costs'!$D$2:$D$68,MATCH($B58,'Recipe Costs'!$B$2:$B$68,0))</f>
        <v>237.0638888888889</v>
      </c>
      <c r="I58" s="11">
        <f>INDEX('Recipe Costs'!$E$2:$E$68,MATCH($B58,'Recipe Costs'!$B$2:$B$68,0))</f>
        <v>269.94</v>
      </c>
    </row>
    <row r="59" spans="1:9" ht="112" x14ac:dyDescent="0.2">
      <c r="A59" s="9">
        <v>58</v>
      </c>
      <c r="B59" s="9" t="s">
        <v>78</v>
      </c>
      <c r="C59" s="9" t="s">
        <v>48</v>
      </c>
      <c r="D59" s="9" t="s">
        <v>260</v>
      </c>
      <c r="E59" s="9">
        <v>8</v>
      </c>
      <c r="F59" s="9" t="s">
        <v>261</v>
      </c>
      <c r="G59" s="10" t="s">
        <v>262</v>
      </c>
      <c r="H59" s="11">
        <f>INDEX('Recipe Costs'!$D$2:$D$68,MATCH($B59,'Recipe Costs'!$B$2:$B$68,0))</f>
        <v>118.38362500000001</v>
      </c>
      <c r="I59" s="11">
        <f>INDEX('Recipe Costs'!$E$2:$E$68,MATCH($B59,'Recipe Costs'!$B$2:$B$68,0))</f>
        <v>305.92</v>
      </c>
    </row>
    <row r="60" spans="1:9" ht="56" x14ac:dyDescent="0.2">
      <c r="A60" s="9">
        <v>59</v>
      </c>
      <c r="B60" s="9" t="s">
        <v>79</v>
      </c>
      <c r="C60" s="9" t="s">
        <v>48</v>
      </c>
      <c r="D60" s="9" t="s">
        <v>263</v>
      </c>
      <c r="E60" s="9">
        <v>4</v>
      </c>
      <c r="F60" s="9" t="s">
        <v>264</v>
      </c>
      <c r="G60" s="10" t="s">
        <v>265</v>
      </c>
      <c r="H60" s="11">
        <f>INDEX('Recipe Costs'!$D$2:$D$68,MATCH($B60,'Recipe Costs'!$B$2:$B$68,0))</f>
        <v>84.98084999999999</v>
      </c>
      <c r="I60" s="11">
        <f>INDEX('Recipe Costs'!$E$2:$E$68,MATCH($B60,'Recipe Costs'!$B$2:$B$68,0))</f>
        <v>229.96</v>
      </c>
    </row>
    <row r="61" spans="1:9" ht="154" x14ac:dyDescent="0.2">
      <c r="A61" s="9">
        <v>60</v>
      </c>
      <c r="B61" s="9" t="s">
        <v>80</v>
      </c>
      <c r="C61" s="9" t="s">
        <v>50</v>
      </c>
      <c r="D61" s="9" t="s">
        <v>266</v>
      </c>
      <c r="E61" s="9">
        <v>11</v>
      </c>
      <c r="F61" s="9" t="s">
        <v>267</v>
      </c>
      <c r="G61" s="10" t="s">
        <v>265</v>
      </c>
      <c r="H61" s="11">
        <f>INDEX('Recipe Costs'!$D$2:$D$68,MATCH($B61,'Recipe Costs'!$B$2:$B$68,0))</f>
        <v>272.05780000000004</v>
      </c>
      <c r="I61" s="11">
        <f>INDEX('Recipe Costs'!$E$2:$E$68,MATCH($B61,'Recipe Costs'!$B$2:$B$68,0))</f>
        <v>498.88000000000005</v>
      </c>
    </row>
    <row r="62" spans="1:9" ht="154" x14ac:dyDescent="0.2">
      <c r="A62" s="9">
        <v>61</v>
      </c>
      <c r="B62" s="9" t="s">
        <v>81</v>
      </c>
      <c r="C62" s="9" t="s">
        <v>11</v>
      </c>
      <c r="D62" s="9" t="s">
        <v>268</v>
      </c>
      <c r="E62" s="9">
        <v>11</v>
      </c>
      <c r="F62" s="9" t="s">
        <v>269</v>
      </c>
      <c r="G62" s="10" t="s">
        <v>270</v>
      </c>
      <c r="H62" s="11">
        <f>INDEX('Recipe Costs'!$D$2:$D$68,MATCH($B62,'Recipe Costs'!$B$2:$B$68,0))</f>
        <v>251.11530000000002</v>
      </c>
      <c r="I62" s="11">
        <f>INDEX('Recipe Costs'!$E$2:$E$68,MATCH($B62,'Recipe Costs'!$B$2:$B$68,0))</f>
        <v>360.78000000000009</v>
      </c>
    </row>
    <row r="63" spans="1:9" ht="56" x14ac:dyDescent="0.2">
      <c r="A63" s="9">
        <v>62</v>
      </c>
      <c r="B63" s="9" t="s">
        <v>82</v>
      </c>
      <c r="C63" s="9" t="s">
        <v>11</v>
      </c>
      <c r="D63" s="9" t="s">
        <v>271</v>
      </c>
      <c r="E63" s="9">
        <v>4</v>
      </c>
      <c r="F63" s="9" t="s">
        <v>272</v>
      </c>
      <c r="G63" s="10" t="s">
        <v>270</v>
      </c>
      <c r="H63" s="11">
        <f>INDEX('Recipe Costs'!$D$2:$D$68,MATCH($B63,'Recipe Costs'!$B$2:$B$68,0))</f>
        <v>310.10210000000001</v>
      </c>
      <c r="I63" s="11">
        <f>INDEX('Recipe Costs'!$E$2:$E$68,MATCH($B63,'Recipe Costs'!$B$2:$B$68,0))</f>
        <v>470.7600000000001</v>
      </c>
    </row>
    <row r="64" spans="1:9" ht="56" x14ac:dyDescent="0.2">
      <c r="A64" s="9">
        <v>63</v>
      </c>
      <c r="B64" s="9" t="s">
        <v>83</v>
      </c>
      <c r="C64" s="9" t="s">
        <v>11</v>
      </c>
      <c r="D64" s="9" t="s">
        <v>273</v>
      </c>
      <c r="E64" s="9">
        <v>4</v>
      </c>
      <c r="F64" s="9" t="s">
        <v>274</v>
      </c>
      <c r="G64" s="10" t="s">
        <v>270</v>
      </c>
      <c r="H64" s="11">
        <f>INDEX('Recipe Costs'!$D$2:$D$68,MATCH($B64,'Recipe Costs'!$B$2:$B$68,0))</f>
        <v>342.60160000000002</v>
      </c>
      <c r="I64" s="11">
        <f>INDEX('Recipe Costs'!$E$2:$E$68,MATCH($B64,'Recipe Costs'!$B$2:$B$68,0))</f>
        <v>607.75000000000011</v>
      </c>
    </row>
    <row r="65" spans="1:9" ht="84" x14ac:dyDescent="0.2">
      <c r="A65" s="9">
        <v>64</v>
      </c>
      <c r="B65" s="9" t="s">
        <v>84</v>
      </c>
      <c r="C65" s="9" t="s">
        <v>11</v>
      </c>
      <c r="D65" s="9" t="s">
        <v>275</v>
      </c>
      <c r="E65" s="9">
        <v>6</v>
      </c>
      <c r="F65" s="9" t="s">
        <v>272</v>
      </c>
      <c r="G65" s="10" t="s">
        <v>270</v>
      </c>
      <c r="H65" s="11">
        <f>INDEX('Recipe Costs'!$D$2:$D$68,MATCH($B65,'Recipe Costs'!$B$2:$B$68,0))</f>
        <v>314.70169840425535</v>
      </c>
      <c r="I65" s="11">
        <f>INDEX('Recipe Costs'!$E$2:$E$68,MATCH($B65,'Recipe Costs'!$B$2:$B$68,0))</f>
        <v>540.75000000000011</v>
      </c>
    </row>
    <row r="66" spans="1:9" ht="140" x14ac:dyDescent="0.2">
      <c r="A66" s="9">
        <v>65</v>
      </c>
      <c r="B66" s="9" t="s">
        <v>85</v>
      </c>
      <c r="C66" s="9" t="s">
        <v>11</v>
      </c>
      <c r="D66" s="9" t="s">
        <v>276</v>
      </c>
      <c r="E66" s="9">
        <v>9</v>
      </c>
      <c r="F66" s="9" t="s">
        <v>277</v>
      </c>
      <c r="G66" s="10" t="s">
        <v>278</v>
      </c>
      <c r="H66" s="11">
        <f>INDEX('Recipe Costs'!$D$2:$D$68,MATCH($B66,'Recipe Costs'!$B$2:$B$68,0))</f>
        <v>219.91877904761907</v>
      </c>
      <c r="I66" s="11">
        <f>INDEX('Recipe Costs'!$E$2:$E$68,MATCH($B66,'Recipe Costs'!$B$2:$B$68,0))</f>
        <v>553.89</v>
      </c>
    </row>
    <row r="67" spans="1:9" ht="112" x14ac:dyDescent="0.2">
      <c r="A67" s="9">
        <v>66</v>
      </c>
      <c r="B67" s="9" t="s">
        <v>86</v>
      </c>
      <c r="C67" s="9" t="s">
        <v>17</v>
      </c>
      <c r="D67" s="9" t="s">
        <v>279</v>
      </c>
      <c r="E67" s="9">
        <v>8</v>
      </c>
      <c r="F67" s="9" t="s">
        <v>280</v>
      </c>
      <c r="G67" s="10" t="s">
        <v>281</v>
      </c>
      <c r="H67" s="11">
        <f>INDEX('Recipe Costs'!$D$2:$D$68,MATCH($B67,'Recipe Costs'!$B$2:$B$68,0))</f>
        <v>79.828883333333323</v>
      </c>
      <c r="I67" s="11">
        <f>INDEX('Recipe Costs'!$E$2:$E$68,MATCH($B67,'Recipe Costs'!$B$2:$B$68,0))</f>
        <v>274.93</v>
      </c>
    </row>
    <row r="68" spans="1:9" ht="84" x14ac:dyDescent="0.2">
      <c r="A68" s="9">
        <v>67</v>
      </c>
      <c r="B68" s="9" t="s">
        <v>87</v>
      </c>
      <c r="C68" s="9" t="s">
        <v>63</v>
      </c>
      <c r="D68" s="9" t="s">
        <v>282</v>
      </c>
      <c r="E68" s="9">
        <v>6</v>
      </c>
      <c r="F68" s="9" t="s">
        <v>283</v>
      </c>
      <c r="G68" s="10" t="s">
        <v>284</v>
      </c>
      <c r="H68" s="11">
        <f>INDEX('Recipe Costs'!$D$2:$D$68,MATCH($B68,'Recipe Costs'!$B$2:$B$68,0))</f>
        <v>108.12450000000001</v>
      </c>
      <c r="I68" s="11">
        <f>INDEX('Recipe Costs'!$E$2:$E$68,MATCH($B68,'Recipe Costs'!$B$2:$B$68,0))</f>
        <v>179.95000000000002</v>
      </c>
    </row>
  </sheetData>
  <autoFilter ref="A1:I68" xr:uid="{00000000-0009-0000-0000-000001000000}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xr:uid="{00000000-0004-0000-0100-000027000000}"/>
    <hyperlink ref="G42" r:id="rId41" xr:uid="{00000000-0004-0000-0100-000028000000}"/>
    <hyperlink ref="G43" r:id="rId42" xr:uid="{00000000-0004-0000-0100-000029000000}"/>
    <hyperlink ref="G44" r:id="rId43" xr:uid="{00000000-0004-0000-0100-00002A000000}"/>
    <hyperlink ref="G45" r:id="rId44" xr:uid="{00000000-0004-0000-0100-00002B000000}"/>
    <hyperlink ref="G46" r:id="rId45" xr:uid="{00000000-0004-0000-0100-00002C000000}"/>
    <hyperlink ref="G47" r:id="rId46" xr:uid="{00000000-0004-0000-0100-00002D000000}"/>
    <hyperlink ref="G48" r:id="rId47" xr:uid="{00000000-0004-0000-0100-00002E000000}"/>
    <hyperlink ref="G49" r:id="rId48" xr:uid="{00000000-0004-0000-0100-00002F000000}"/>
    <hyperlink ref="G50" r:id="rId49" xr:uid="{00000000-0004-0000-0100-000030000000}"/>
    <hyperlink ref="G51" r:id="rId50" xr:uid="{00000000-0004-0000-0100-000031000000}"/>
    <hyperlink ref="G52" r:id="rId51" xr:uid="{00000000-0004-0000-0100-000032000000}"/>
    <hyperlink ref="G53" r:id="rId52" xr:uid="{00000000-0004-0000-0100-000033000000}"/>
    <hyperlink ref="G54" r:id="rId53" xr:uid="{00000000-0004-0000-0100-000034000000}"/>
    <hyperlink ref="G55" r:id="rId54" xr:uid="{00000000-0004-0000-0100-000035000000}"/>
    <hyperlink ref="G56" r:id="rId55" xr:uid="{00000000-0004-0000-0100-000036000000}"/>
    <hyperlink ref="G57" r:id="rId56" xr:uid="{00000000-0004-0000-0100-000037000000}"/>
    <hyperlink ref="G58" r:id="rId57" xr:uid="{00000000-0004-0000-0100-000038000000}"/>
    <hyperlink ref="G59" r:id="rId58" xr:uid="{00000000-0004-0000-0100-000039000000}"/>
    <hyperlink ref="G60" r:id="rId59" xr:uid="{00000000-0004-0000-0100-00003A000000}"/>
    <hyperlink ref="G61" r:id="rId60" xr:uid="{00000000-0004-0000-0100-00003B000000}"/>
    <hyperlink ref="G62" r:id="rId61" xr:uid="{00000000-0004-0000-0100-00003C000000}"/>
    <hyperlink ref="G63" r:id="rId62" xr:uid="{00000000-0004-0000-0100-00003D000000}"/>
    <hyperlink ref="G64" r:id="rId63" xr:uid="{00000000-0004-0000-0100-00003E000000}"/>
    <hyperlink ref="G65" r:id="rId64" xr:uid="{00000000-0004-0000-0100-00003F000000}"/>
    <hyperlink ref="G66" r:id="rId65" xr:uid="{00000000-0004-0000-0100-000040000000}"/>
    <hyperlink ref="G67" r:id="rId66" xr:uid="{00000000-0004-0000-0100-000041000000}"/>
    <hyperlink ref="G68" r:id="rId67" xr:uid="{00000000-0004-0000-0100-00004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4" customWidth="1"/>
    <col min="3" max="3" width="42" customWidth="1"/>
    <col min="4" max="4" width="16" customWidth="1"/>
    <col min="5" max="5" width="18" customWidth="1"/>
    <col min="6" max="6" width="44" customWidth="1"/>
    <col min="7" max="7" width="9" customWidth="1"/>
    <col min="8" max="8" width="8" customWidth="1"/>
    <col min="9" max="9" width="9" customWidth="1"/>
    <col min="10" max="10" width="12" customWidth="1"/>
    <col min="11" max="11" width="9" customWidth="1"/>
    <col min="12" max="12" width="12" customWidth="1"/>
    <col min="13" max="13" width="13" customWidth="1"/>
    <col min="14" max="14" width="55" customWidth="1"/>
  </cols>
  <sheetData>
    <row r="1" spans="1:14" ht="30" customHeight="1" x14ac:dyDescent="0.2">
      <c r="A1" s="1" t="s">
        <v>1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</row>
    <row r="2" spans="1:14" x14ac:dyDescent="0.2">
      <c r="A2" s="12" t="s">
        <v>10</v>
      </c>
      <c r="B2" s="12" t="s">
        <v>11</v>
      </c>
      <c r="C2" s="12" t="s">
        <v>297</v>
      </c>
      <c r="D2" s="12" t="s">
        <v>298</v>
      </c>
      <c r="E2" s="13" t="s">
        <v>299</v>
      </c>
      <c r="F2" s="14" t="str">
        <f>INDEX('Woolworths Products'!$B$2:$B$208,MATCH($E2,'Woolworths Products'!$A$2:$A$208,0))</f>
        <v>Farmhouse Chicken Soup 600 g</v>
      </c>
      <c r="G2" s="15">
        <v>1</v>
      </c>
      <c r="H2" s="14" t="str">
        <f>INDEX('Woolworths Products'!$G$2:$G$208,MATCH($E2,'Woolworths Products'!$A$2:$A$208,0))</f>
        <v>ea</v>
      </c>
      <c r="I2" s="14">
        <f>INDEX('Woolworths Products'!$F$2:$F$208,MATCH($E2,'Woolworths Products'!$A$2:$A$208,0))</f>
        <v>1</v>
      </c>
      <c r="J2" s="14">
        <f>INDEX('Woolworths Products'!$E$2:$E$208,MATCH($E2,'Woolworths Products'!$A$2:$A$208,0))</f>
        <v>74.989999999999995</v>
      </c>
      <c r="K2" s="5">
        <f>IF(COUNTIFS($A$2:A2,A2,$E$2:E2,E2)=1,ROUNDUP(SUMIFS($G:$G,$A:$A,A2,$E:$E,E2)/I2,0),0)</f>
        <v>1</v>
      </c>
      <c r="L2" s="5">
        <f t="shared" ref="L2:L23" si="0">K2*J2</f>
        <v>74.989999999999995</v>
      </c>
      <c r="M2" s="5">
        <f t="shared" ref="M2:M23" si="1">G2/I2*J2</f>
        <v>74.989999999999995</v>
      </c>
      <c r="N2" s="9"/>
    </row>
    <row r="3" spans="1:14" x14ac:dyDescent="0.2">
      <c r="A3" s="12" t="s">
        <v>10</v>
      </c>
      <c r="B3" s="12" t="s">
        <v>11</v>
      </c>
      <c r="C3" s="12" t="s">
        <v>300</v>
      </c>
      <c r="D3" s="12" t="s">
        <v>298</v>
      </c>
      <c r="E3" s="13" t="s">
        <v>301</v>
      </c>
      <c r="F3" s="14" t="str">
        <f>INDEX('Woolworths Products'!$B$2:$B$208,MATCH($E3,'Woolworths Products'!$A$2:$A$208,0))</f>
        <v>Baby Marrows 350 g</v>
      </c>
      <c r="G3" s="15">
        <v>70</v>
      </c>
      <c r="H3" s="14" t="str">
        <f>INDEX('Woolworths Products'!$G$2:$G$208,MATCH($E3,'Woolworths Products'!$A$2:$A$208,0))</f>
        <v>g</v>
      </c>
      <c r="I3" s="14">
        <f>INDEX('Woolworths Products'!$F$2:$F$208,MATCH($E3,'Woolworths Products'!$A$2:$A$208,0))</f>
        <v>350</v>
      </c>
      <c r="J3" s="14">
        <f>INDEX('Woolworths Products'!$E$2:$E$208,MATCH($E3,'Woolworths Products'!$A$2:$A$208,0))</f>
        <v>32.99</v>
      </c>
      <c r="K3" s="5">
        <f>IF(COUNTIFS($A$2:A3,A3,$E$2:E3,E3)=1,ROUNDUP(SUMIFS($G:$G,$A:$A,A3,$E:$E,E3)/I3,0),0)</f>
        <v>1</v>
      </c>
      <c r="L3" s="5">
        <f t="shared" si="0"/>
        <v>32.99</v>
      </c>
      <c r="M3" s="5">
        <f t="shared" si="1"/>
        <v>6.5980000000000008</v>
      </c>
      <c r="N3" s="9" t="s">
        <v>302</v>
      </c>
    </row>
    <row r="4" spans="1:14" x14ac:dyDescent="0.2">
      <c r="A4" s="12" t="s">
        <v>10</v>
      </c>
      <c r="B4" s="12" t="s">
        <v>11</v>
      </c>
      <c r="C4" s="12" t="s">
        <v>303</v>
      </c>
      <c r="D4" s="12" t="s">
        <v>298</v>
      </c>
      <c r="E4" s="13" t="s">
        <v>304</v>
      </c>
      <c r="F4" s="14" t="str">
        <f>INDEX('Woolworths Products'!$B$2:$B$208,MATCH($E4,'Woolworths Products'!$A$2:$A$208,0))</f>
        <v>Medium Carrots 500 g</v>
      </c>
      <c r="G4" s="15">
        <v>60</v>
      </c>
      <c r="H4" s="14" t="str">
        <f>INDEX('Woolworths Products'!$G$2:$G$208,MATCH($E4,'Woolworths Products'!$A$2:$A$208,0))</f>
        <v>g</v>
      </c>
      <c r="I4" s="14">
        <f>INDEX('Woolworths Products'!$F$2:$F$208,MATCH($E4,'Woolworths Products'!$A$2:$A$208,0))</f>
        <v>500</v>
      </c>
      <c r="J4" s="14">
        <f>INDEX('Woolworths Products'!$E$2:$E$208,MATCH($E4,'Woolworths Products'!$A$2:$A$208,0))</f>
        <v>14.99</v>
      </c>
      <c r="K4" s="5">
        <f>IF(COUNTIFS($A$2:A4,A4,$E$2:E4,E4)=1,ROUNDUP(SUMIFS($G:$G,$A:$A,A4,$E:$E,E4)/I4,0),0)</f>
        <v>1</v>
      </c>
      <c r="L4" s="5">
        <f t="shared" si="0"/>
        <v>14.99</v>
      </c>
      <c r="M4" s="5">
        <f t="shared" si="1"/>
        <v>1.7988</v>
      </c>
      <c r="N4" s="9"/>
    </row>
    <row r="5" spans="1:14" x14ac:dyDescent="0.2">
      <c r="A5" s="12" t="s">
        <v>10</v>
      </c>
      <c r="B5" s="12" t="s">
        <v>11</v>
      </c>
      <c r="C5" s="12" t="s">
        <v>305</v>
      </c>
      <c r="D5" s="12" t="s">
        <v>298</v>
      </c>
      <c r="E5" s="13" t="s">
        <v>306</v>
      </c>
      <c r="F5" s="14" t="str">
        <f>INDEX('Woolworths Products'!$B$2:$B$208,MATCH($E5,'Woolworths Products'!$A$2:$A$208,0))</f>
        <v>Medium Rotisserie Chicken</v>
      </c>
      <c r="G5" s="15">
        <v>1</v>
      </c>
      <c r="H5" s="14" t="str">
        <f>INDEX('Woolworths Products'!$G$2:$G$208,MATCH($E5,'Woolworths Products'!$A$2:$A$208,0))</f>
        <v>ea</v>
      </c>
      <c r="I5" s="14">
        <f>INDEX('Woolworths Products'!$F$2:$F$208,MATCH($E5,'Woolworths Products'!$A$2:$A$208,0))</f>
        <v>1</v>
      </c>
      <c r="J5" s="14">
        <f>INDEX('Woolworths Products'!$E$2:$E$208,MATCH($E5,'Woolworths Products'!$A$2:$A$208,0))</f>
        <v>119.99</v>
      </c>
      <c r="K5" s="5">
        <f>IF(COUNTIFS($A$2:A5,A5,$E$2:E5,E5)=1,ROUNDUP(SUMIFS($G:$G,$A:$A,A5,$E:$E,E5)/I5,0),0)</f>
        <v>1</v>
      </c>
      <c r="L5" s="5">
        <f t="shared" si="0"/>
        <v>119.99</v>
      </c>
      <c r="M5" s="5">
        <f t="shared" si="1"/>
        <v>119.99</v>
      </c>
      <c r="N5" s="9"/>
    </row>
    <row r="6" spans="1:14" x14ac:dyDescent="0.2">
      <c r="A6" s="16" t="s">
        <v>10</v>
      </c>
      <c r="B6" s="16" t="s">
        <v>11</v>
      </c>
      <c r="C6" s="16" t="s">
        <v>307</v>
      </c>
      <c r="D6" s="16" t="s">
        <v>298</v>
      </c>
      <c r="E6" s="17" t="s">
        <v>308</v>
      </c>
      <c r="F6" s="18" t="str">
        <f>INDEX('Woolworths Products'!$B$2:$B$208,MATCH($E6,'Woolworths Products'!$A$2:$A$208,0))</f>
        <v>Frozen Puff Pastry Roll 400 g</v>
      </c>
      <c r="G6" s="19">
        <v>1</v>
      </c>
      <c r="H6" s="18" t="str">
        <f>INDEX('Woolworths Products'!$G$2:$G$208,MATCH($E6,'Woolworths Products'!$A$2:$A$208,0))</f>
        <v>ea</v>
      </c>
      <c r="I6" s="18">
        <f>INDEX('Woolworths Products'!$F$2:$F$208,MATCH($E6,'Woolworths Products'!$A$2:$A$208,0))</f>
        <v>1</v>
      </c>
      <c r="J6" s="18">
        <f>INDEX('Woolworths Products'!$E$2:$E$208,MATCH($E6,'Woolworths Products'!$A$2:$A$208,0))</f>
        <v>42.99</v>
      </c>
      <c r="K6" s="20">
        <f>IF(COUNTIFS($A$2:A6,A6,$E$2:E6,E6)=1,ROUNDUP(SUMIFS($G:$G,$A:$A,A6,$E:$E,E6)/I6,0),0)</f>
        <v>1</v>
      </c>
      <c r="L6" s="20">
        <f t="shared" si="0"/>
        <v>42.99</v>
      </c>
      <c r="M6" s="20">
        <f t="shared" si="1"/>
        <v>42.99</v>
      </c>
      <c r="N6" s="21" t="s">
        <v>309</v>
      </c>
    </row>
    <row r="7" spans="1:14" x14ac:dyDescent="0.2">
      <c r="A7" s="12" t="s">
        <v>10</v>
      </c>
      <c r="B7" s="12" t="s">
        <v>11</v>
      </c>
      <c r="C7" s="12" t="s">
        <v>310</v>
      </c>
      <c r="D7" s="12" t="s">
        <v>298</v>
      </c>
      <c r="E7" s="13" t="s">
        <v>311</v>
      </c>
      <c r="F7" s="14" t="str">
        <f>INDEX('Woolworths Products'!$B$2:$B$208,MATCH($E7,'Woolworths Products'!$A$2:$A$208,0))</f>
        <v>Free Range Mixed Sizes Chilled Eggs 6 pk</v>
      </c>
      <c r="G7" s="15">
        <v>1</v>
      </c>
      <c r="H7" s="14" t="str">
        <f>INDEX('Woolworths Products'!$G$2:$G$208,MATCH($E7,'Woolworths Products'!$A$2:$A$208,0))</f>
        <v>ea</v>
      </c>
      <c r="I7" s="14">
        <f>INDEX('Woolworths Products'!$F$2:$F$208,MATCH($E7,'Woolworths Products'!$A$2:$A$208,0))</f>
        <v>6</v>
      </c>
      <c r="J7" s="14">
        <f>INDEX('Woolworths Products'!$E$2:$E$208,MATCH($E7,'Woolworths Products'!$A$2:$A$208,0))</f>
        <v>29.99</v>
      </c>
      <c r="K7" s="5">
        <f>IF(COUNTIFS($A$2:A7,A7,$E$2:E7,E7)=1,ROUNDUP(SUMIFS($G:$G,$A:$A,A7,$E:$E,E7)/I7,0),0)</f>
        <v>1</v>
      </c>
      <c r="L7" s="5">
        <f t="shared" si="0"/>
        <v>29.99</v>
      </c>
      <c r="M7" s="5">
        <f t="shared" si="1"/>
        <v>4.9983333333333331</v>
      </c>
      <c r="N7" s="9"/>
    </row>
    <row r="8" spans="1:14" x14ac:dyDescent="0.2">
      <c r="A8" s="16" t="s">
        <v>10</v>
      </c>
      <c r="B8" s="16" t="s">
        <v>11</v>
      </c>
      <c r="C8" s="16" t="s">
        <v>312</v>
      </c>
      <c r="D8" s="16" t="s">
        <v>298</v>
      </c>
      <c r="E8" s="17" t="s">
        <v>313</v>
      </c>
      <c r="F8" s="18" t="str">
        <f>INDEX('Woolworths Products'!$B$2:$B$208,MATCH($E8,'Woolworths Products'!$A$2:$A$208,0))</f>
        <v>Mixed Leaf Salad 180 g</v>
      </c>
      <c r="G8" s="19">
        <v>1</v>
      </c>
      <c r="H8" s="18" t="str">
        <f>INDEX('Woolworths Products'!$G$2:$G$208,MATCH($E8,'Woolworths Products'!$A$2:$A$208,0))</f>
        <v>ea</v>
      </c>
      <c r="I8" s="18">
        <f>INDEX('Woolworths Products'!$F$2:$F$208,MATCH($E8,'Woolworths Products'!$A$2:$A$208,0))</f>
        <v>1</v>
      </c>
      <c r="J8" s="18">
        <f>INDEX('Woolworths Products'!$E$2:$E$208,MATCH($E8,'Woolworths Products'!$A$2:$A$208,0))</f>
        <v>29.99</v>
      </c>
      <c r="K8" s="20">
        <f>IF(COUNTIFS($A$2:A8,A8,$E$2:E8,E8)=1,ROUNDUP(SUMIFS($G:$G,$A:$A,A8,$E:$E,E8)/I8,0),0)</f>
        <v>1</v>
      </c>
      <c r="L8" s="20">
        <f t="shared" si="0"/>
        <v>29.99</v>
      </c>
      <c r="M8" s="20">
        <f t="shared" si="1"/>
        <v>29.99</v>
      </c>
      <c r="N8" s="21" t="s">
        <v>314</v>
      </c>
    </row>
    <row r="9" spans="1:14" x14ac:dyDescent="0.2">
      <c r="A9" s="16" t="s">
        <v>13</v>
      </c>
      <c r="B9" s="16" t="s">
        <v>14</v>
      </c>
      <c r="C9" s="16" t="s">
        <v>315</v>
      </c>
      <c r="D9" s="16" t="s">
        <v>298</v>
      </c>
      <c r="E9" s="17" t="s">
        <v>301</v>
      </c>
      <c r="F9" s="18" t="str">
        <f>INDEX('Woolworths Products'!$B$2:$B$208,MATCH($E9,'Woolworths Products'!$A$2:$A$208,0))</f>
        <v>Baby Marrows 350 g</v>
      </c>
      <c r="G9" s="19">
        <v>350</v>
      </c>
      <c r="H9" s="18" t="str">
        <f>INDEX('Woolworths Products'!$G$2:$G$208,MATCH($E9,'Woolworths Products'!$A$2:$A$208,0))</f>
        <v>g</v>
      </c>
      <c r="I9" s="18">
        <f>INDEX('Woolworths Products'!$F$2:$F$208,MATCH($E9,'Woolworths Products'!$A$2:$A$208,0))</f>
        <v>350</v>
      </c>
      <c r="J9" s="18">
        <f>INDEX('Woolworths Products'!$E$2:$E$208,MATCH($E9,'Woolworths Products'!$A$2:$A$208,0))</f>
        <v>32.99</v>
      </c>
      <c r="K9" s="20">
        <f>IF(COUNTIFS($A$2:A9,A9,$E$2:E9,E9)=1,ROUNDUP(SUMIFS($G:$G,$A:$A,A9,$E:$E,E9)/I9,0),0)</f>
        <v>1</v>
      </c>
      <c r="L9" s="20">
        <f t="shared" si="0"/>
        <v>32.99</v>
      </c>
      <c r="M9" s="20">
        <f t="shared" si="1"/>
        <v>32.99</v>
      </c>
      <c r="N9" s="21" t="s">
        <v>316</v>
      </c>
    </row>
    <row r="10" spans="1:14" x14ac:dyDescent="0.2">
      <c r="A10" s="16" t="s">
        <v>13</v>
      </c>
      <c r="B10" s="16" t="s">
        <v>14</v>
      </c>
      <c r="C10" s="16" t="s">
        <v>317</v>
      </c>
      <c r="D10" s="16" t="s">
        <v>298</v>
      </c>
      <c r="E10" s="17" t="s">
        <v>318</v>
      </c>
      <c r="F10" s="18" t="str">
        <f>INDEX('Woolworths Products'!$B$2:$B$208,MATCH($E10,'Woolworths Products'!$A$2:$A$208,0))</f>
        <v>Plain South African Feta Cheese 100 g</v>
      </c>
      <c r="G10" s="19">
        <v>50</v>
      </c>
      <c r="H10" s="18" t="str">
        <f>INDEX('Woolworths Products'!$G$2:$G$208,MATCH($E10,'Woolworths Products'!$A$2:$A$208,0))</f>
        <v>g</v>
      </c>
      <c r="I10" s="18">
        <f>INDEX('Woolworths Products'!$F$2:$F$208,MATCH($E10,'Woolworths Products'!$A$2:$A$208,0))</f>
        <v>100</v>
      </c>
      <c r="J10" s="18">
        <f>INDEX('Woolworths Products'!$E$2:$E$208,MATCH($E10,'Woolworths Products'!$A$2:$A$208,0))</f>
        <v>24.99</v>
      </c>
      <c r="K10" s="20">
        <f>IF(COUNTIFS($A$2:A10,A10,$E$2:E10,E10)=1,ROUNDUP(SUMIFS($G:$G,$A:$A,A10,$E:$E,E10)/I10,0),0)</f>
        <v>1</v>
      </c>
      <c r="L10" s="20">
        <f t="shared" si="0"/>
        <v>24.99</v>
      </c>
      <c r="M10" s="20">
        <f t="shared" si="1"/>
        <v>12.494999999999999</v>
      </c>
      <c r="N10" s="21" t="s">
        <v>319</v>
      </c>
    </row>
    <row r="11" spans="1:14" x14ac:dyDescent="0.2">
      <c r="A11" s="16" t="s">
        <v>13</v>
      </c>
      <c r="B11" s="16" t="s">
        <v>14</v>
      </c>
      <c r="C11" s="16" t="s">
        <v>320</v>
      </c>
      <c r="D11" s="16" t="s">
        <v>298</v>
      </c>
      <c r="E11" s="17" t="s">
        <v>321</v>
      </c>
      <c r="F11" s="18" t="str">
        <f>INDEX('Woolworths Products'!$B$2:$B$208,MATCH($E11,'Woolworths Products'!$A$2:$A$208,0))</f>
        <v>Pomegranate Rubies 175 g</v>
      </c>
      <c r="G11" s="19">
        <v>50</v>
      </c>
      <c r="H11" s="18" t="str">
        <f>INDEX('Woolworths Products'!$G$2:$G$208,MATCH($E11,'Woolworths Products'!$A$2:$A$208,0))</f>
        <v>g</v>
      </c>
      <c r="I11" s="18">
        <f>INDEX('Woolworths Products'!$F$2:$F$208,MATCH($E11,'Woolworths Products'!$A$2:$A$208,0))</f>
        <v>175</v>
      </c>
      <c r="J11" s="18">
        <f>INDEX('Woolworths Products'!$E$2:$E$208,MATCH($E11,'Woolworths Products'!$A$2:$A$208,0))</f>
        <v>54.99</v>
      </c>
      <c r="K11" s="20">
        <f>IF(COUNTIFS($A$2:A11,A11,$E$2:E11,E11)=1,ROUNDUP(SUMIFS($G:$G,$A:$A,A11,$E:$E,E11)/I11,0),0)</f>
        <v>1</v>
      </c>
      <c r="L11" s="20">
        <f t="shared" si="0"/>
        <v>54.99</v>
      </c>
      <c r="M11" s="20">
        <f t="shared" si="1"/>
        <v>15.711428571428572</v>
      </c>
      <c r="N11" s="21" t="s">
        <v>319</v>
      </c>
    </row>
    <row r="12" spans="1:14" x14ac:dyDescent="0.2">
      <c r="A12" s="12" t="s">
        <v>13</v>
      </c>
      <c r="B12" s="12" t="s">
        <v>14</v>
      </c>
      <c r="C12" s="12" t="s">
        <v>322</v>
      </c>
      <c r="D12" s="12" t="s">
        <v>298</v>
      </c>
      <c r="E12" s="13" t="s">
        <v>323</v>
      </c>
      <c r="F12" s="14" t="str">
        <f>INDEX('Woolworths Products'!$B$2:$B$208,MATCH($E12,'Woolworths Products'!$A$2:$A$208,0))</f>
        <v>Lemons 3 pk</v>
      </c>
      <c r="G12" s="15">
        <v>1</v>
      </c>
      <c r="H12" s="14" t="str">
        <f>INDEX('Woolworths Products'!$G$2:$G$208,MATCH($E12,'Woolworths Products'!$A$2:$A$208,0))</f>
        <v>ea</v>
      </c>
      <c r="I12" s="14">
        <f>INDEX('Woolworths Products'!$F$2:$F$208,MATCH($E12,'Woolworths Products'!$A$2:$A$208,0))</f>
        <v>3</v>
      </c>
      <c r="J12" s="14">
        <f>INDEX('Woolworths Products'!$E$2:$E$208,MATCH($E12,'Woolworths Products'!$A$2:$A$208,0))</f>
        <v>27.99</v>
      </c>
      <c r="K12" s="5">
        <f>IF(COUNTIFS($A$2:A12,A12,$E$2:E12,E12)=1,ROUNDUP(SUMIFS($G:$G,$A:$A,A12,$E:$E,E12)/I12,0),0)</f>
        <v>1</v>
      </c>
      <c r="L12" s="5">
        <f t="shared" si="0"/>
        <v>27.99</v>
      </c>
      <c r="M12" s="5">
        <f t="shared" si="1"/>
        <v>9.3299999999999983</v>
      </c>
      <c r="N12" s="9"/>
    </row>
    <row r="13" spans="1:14" x14ac:dyDescent="0.2">
      <c r="A13" s="16" t="s">
        <v>13</v>
      </c>
      <c r="B13" s="16" t="s">
        <v>14</v>
      </c>
      <c r="C13" s="16" t="s">
        <v>324</v>
      </c>
      <c r="D13" s="16" t="s">
        <v>298</v>
      </c>
      <c r="E13" s="17" t="s">
        <v>325</v>
      </c>
      <c r="F13" s="18" t="str">
        <f>INDEX('Woolworths Products'!$B$2:$B$208,MATCH($E13,'Woolworths Products'!$A$2:$A$208,0))</f>
        <v>Plain Crema - Balsamic Vinegar Reduction 150 ml</v>
      </c>
      <c r="G13" s="19">
        <v>15</v>
      </c>
      <c r="H13" s="18" t="str">
        <f>INDEX('Woolworths Products'!$G$2:$G$208,MATCH($E13,'Woolworths Products'!$A$2:$A$208,0))</f>
        <v>ml</v>
      </c>
      <c r="I13" s="18">
        <f>INDEX('Woolworths Products'!$F$2:$F$208,MATCH($E13,'Woolworths Products'!$A$2:$A$208,0))</f>
        <v>150</v>
      </c>
      <c r="J13" s="18">
        <f>INDEX('Woolworths Products'!$E$2:$E$208,MATCH($E13,'Woolworths Products'!$A$2:$A$208,0))</f>
        <v>72.989999999999995</v>
      </c>
      <c r="K13" s="20">
        <f>IF(COUNTIFS($A$2:A13,A13,$E$2:E13,E13)=1,ROUNDUP(SUMIFS($G:$G,$A:$A,A13,$E:$E,E13)/I13,0),0)</f>
        <v>1</v>
      </c>
      <c r="L13" s="20">
        <f t="shared" si="0"/>
        <v>72.989999999999995</v>
      </c>
      <c r="M13" s="20">
        <f t="shared" si="1"/>
        <v>7.2989999999999995</v>
      </c>
      <c r="N13" s="21" t="s">
        <v>326</v>
      </c>
    </row>
    <row r="14" spans="1:14" x14ac:dyDescent="0.2">
      <c r="A14" s="16" t="s">
        <v>13</v>
      </c>
      <c r="B14" s="16" t="s">
        <v>14</v>
      </c>
      <c r="C14" s="16" t="s">
        <v>327</v>
      </c>
      <c r="D14" s="16" t="s">
        <v>298</v>
      </c>
      <c r="E14" s="17" t="s">
        <v>328</v>
      </c>
      <c r="F14" s="18" t="str">
        <f>INDEX('Woolworths Products'!$B$2:$B$208,MATCH($E14,'Woolworths Products'!$A$2:$A$208,0))</f>
        <v>Fresh Wild Rocket 30 g</v>
      </c>
      <c r="G14" s="19">
        <v>1</v>
      </c>
      <c r="H14" s="18" t="str">
        <f>INDEX('Woolworths Products'!$G$2:$G$208,MATCH($E14,'Woolworths Products'!$A$2:$A$208,0))</f>
        <v>ea</v>
      </c>
      <c r="I14" s="18">
        <f>INDEX('Woolworths Products'!$F$2:$F$208,MATCH($E14,'Woolworths Products'!$A$2:$A$208,0))</f>
        <v>1</v>
      </c>
      <c r="J14" s="18">
        <f>INDEX('Woolworths Products'!$E$2:$E$208,MATCH($E14,'Woolworths Products'!$A$2:$A$208,0))</f>
        <v>15.99</v>
      </c>
      <c r="K14" s="20">
        <f>IF(COUNTIFS($A$2:A14,A14,$E$2:E14,E14)=1,ROUNDUP(SUMIFS($G:$G,$A:$A,A14,$E:$E,E14)/I14,0),0)</f>
        <v>1</v>
      </c>
      <c r="L14" s="20">
        <f t="shared" si="0"/>
        <v>15.99</v>
      </c>
      <c r="M14" s="20">
        <f t="shared" si="1"/>
        <v>15.99</v>
      </c>
      <c r="N14" s="21" t="s">
        <v>314</v>
      </c>
    </row>
    <row r="15" spans="1:14" x14ac:dyDescent="0.2">
      <c r="A15" s="16" t="s">
        <v>13</v>
      </c>
      <c r="B15" s="16" t="s">
        <v>14</v>
      </c>
      <c r="C15" s="16" t="s">
        <v>329</v>
      </c>
      <c r="D15" s="16" t="s">
        <v>298</v>
      </c>
      <c r="E15" s="17" t="s">
        <v>330</v>
      </c>
      <c r="F15" s="18" t="str">
        <f>INDEX('Woolworths Products'!$B$2:$B$208,MATCH($E15,'Woolworths Products'!$A$2:$A$208,0))</f>
        <v>Prince Albert Extra Virgin Olive Oil 250 ml</v>
      </c>
      <c r="G15" s="19">
        <v>15</v>
      </c>
      <c r="H15" s="18" t="str">
        <f>INDEX('Woolworths Products'!$G$2:$G$208,MATCH($E15,'Woolworths Products'!$A$2:$A$208,0))</f>
        <v>ml</v>
      </c>
      <c r="I15" s="18">
        <f>INDEX('Woolworths Products'!$F$2:$F$208,MATCH($E15,'Woolworths Products'!$A$2:$A$208,0))</f>
        <v>250</v>
      </c>
      <c r="J15" s="18">
        <f>INDEX('Woolworths Products'!$E$2:$E$208,MATCH($E15,'Woolworths Products'!$A$2:$A$208,0))</f>
        <v>109.99</v>
      </c>
      <c r="K15" s="20">
        <f>IF(COUNTIFS($A$2:A15,A15,$E$2:E15,E15)=1,ROUNDUP(SUMIFS($G:$G,$A:$A,A15,$E:$E,E15)/I15,0),0)</f>
        <v>1</v>
      </c>
      <c r="L15" s="20">
        <f t="shared" si="0"/>
        <v>109.99</v>
      </c>
      <c r="M15" s="20">
        <f t="shared" si="1"/>
        <v>6.5993999999999993</v>
      </c>
      <c r="N15" s="21" t="s">
        <v>326</v>
      </c>
    </row>
    <row r="16" spans="1:14" x14ac:dyDescent="0.2">
      <c r="A16" s="12" t="s">
        <v>15</v>
      </c>
      <c r="B16" s="12" t="s">
        <v>11</v>
      </c>
      <c r="C16" s="12" t="s">
        <v>331</v>
      </c>
      <c r="D16" s="12" t="s">
        <v>298</v>
      </c>
      <c r="E16" s="13" t="s">
        <v>332</v>
      </c>
      <c r="F16" s="14" t="str">
        <f>INDEX('Woolworths Products'!$B$2:$B$208,MATCH($E16,'Woolworths Products'!$A$2:$A$208,0))</f>
        <v>Frozen Phyllo Pastry 500 g</v>
      </c>
      <c r="G16" s="15">
        <v>100</v>
      </c>
      <c r="H16" s="14" t="str">
        <f>INDEX('Woolworths Products'!$G$2:$G$208,MATCH($E16,'Woolworths Products'!$A$2:$A$208,0))</f>
        <v>g</v>
      </c>
      <c r="I16" s="14">
        <f>INDEX('Woolworths Products'!$F$2:$F$208,MATCH($E16,'Woolworths Products'!$A$2:$A$208,0))</f>
        <v>500</v>
      </c>
      <c r="J16" s="14">
        <f>INDEX('Woolworths Products'!$E$2:$E$208,MATCH($E16,'Woolworths Products'!$A$2:$A$208,0))</f>
        <v>67.989999999999995</v>
      </c>
      <c r="K16" s="5">
        <f>IF(COUNTIFS($A$2:A16,A16,$E$2:E16,E16)=1,ROUNDUP(SUMIFS($G:$G,$A:$A,A16,$E:$E,E16)/I16,0),0)</f>
        <v>1</v>
      </c>
      <c r="L16" s="5">
        <f t="shared" si="0"/>
        <v>67.989999999999995</v>
      </c>
      <c r="M16" s="5">
        <f t="shared" si="1"/>
        <v>13.597999999999999</v>
      </c>
      <c r="N16" s="9" t="s">
        <v>333</v>
      </c>
    </row>
    <row r="17" spans="1:14" x14ac:dyDescent="0.2">
      <c r="A17" s="16" t="s">
        <v>15</v>
      </c>
      <c r="B17" s="16" t="s">
        <v>11</v>
      </c>
      <c r="C17" s="16" t="s">
        <v>334</v>
      </c>
      <c r="D17" s="16" t="s">
        <v>298</v>
      </c>
      <c r="E17" s="17" t="s">
        <v>335</v>
      </c>
      <c r="F17" s="18" t="str">
        <f>INDEX('Woolworths Products'!$B$2:$B$208,MATCH($E17,'Woolworths Products'!$A$2:$A$208,0))</f>
        <v>Extra Virgin Olive Oil Spray 250 ml</v>
      </c>
      <c r="G17" s="19">
        <v>3</v>
      </c>
      <c r="H17" s="18" t="str">
        <f>INDEX('Woolworths Products'!$G$2:$G$208,MATCH($E17,'Woolworths Products'!$A$2:$A$208,0))</f>
        <v>ml</v>
      </c>
      <c r="I17" s="18">
        <f>INDEX('Woolworths Products'!$F$2:$F$208,MATCH($E17,'Woolworths Products'!$A$2:$A$208,0))</f>
        <v>250</v>
      </c>
      <c r="J17" s="18">
        <f>INDEX('Woolworths Products'!$E$2:$E$208,MATCH($E17,'Woolworths Products'!$A$2:$A$208,0))</f>
        <v>199.99</v>
      </c>
      <c r="K17" s="20">
        <f>IF(COUNTIFS($A$2:A17,A17,$E$2:E17,E17)=1,ROUNDUP(SUMIFS($G:$G,$A:$A,A17,$E:$E,E17)/I17,0),0)</f>
        <v>1</v>
      </c>
      <c r="L17" s="20">
        <f t="shared" si="0"/>
        <v>199.99</v>
      </c>
      <c r="M17" s="20">
        <f t="shared" si="1"/>
        <v>2.39988</v>
      </c>
      <c r="N17" s="21" t="s">
        <v>336</v>
      </c>
    </row>
    <row r="18" spans="1:14" x14ac:dyDescent="0.2">
      <c r="A18" s="12" t="s">
        <v>15</v>
      </c>
      <c r="B18" s="12" t="s">
        <v>11</v>
      </c>
      <c r="C18" s="12" t="s">
        <v>337</v>
      </c>
      <c r="D18" s="12" t="s">
        <v>298</v>
      </c>
      <c r="E18" s="13" t="s">
        <v>338</v>
      </c>
      <c r="F18" s="14" t="str">
        <f>INDEX('Woolworths Products'!$B$2:$B$208,MATCH($E18,'Woolworths Products'!$A$2:$A$208,0))</f>
        <v>Whole Spinach 350 g</v>
      </c>
      <c r="G18" s="15">
        <v>500</v>
      </c>
      <c r="H18" s="14" t="str">
        <f>INDEX('Woolworths Products'!$G$2:$G$208,MATCH($E18,'Woolworths Products'!$A$2:$A$208,0))</f>
        <v>g</v>
      </c>
      <c r="I18" s="14">
        <f>INDEX('Woolworths Products'!$F$2:$F$208,MATCH($E18,'Woolworths Products'!$A$2:$A$208,0))</f>
        <v>350</v>
      </c>
      <c r="J18" s="14">
        <f>INDEX('Woolworths Products'!$E$2:$E$208,MATCH($E18,'Woolworths Products'!$A$2:$A$208,0))</f>
        <v>22.99</v>
      </c>
      <c r="K18" s="5">
        <f>IF(COUNTIFS($A$2:A18,A18,$E$2:E18,E18)=1,ROUNDUP(SUMIFS($G:$G,$A:$A,A18,$E:$E,E18)/I18,0),0)</f>
        <v>2</v>
      </c>
      <c r="L18" s="5">
        <f t="shared" si="0"/>
        <v>45.98</v>
      </c>
      <c r="M18" s="5">
        <f t="shared" si="1"/>
        <v>32.842857142857142</v>
      </c>
      <c r="N18" s="9"/>
    </row>
    <row r="19" spans="1:14" x14ac:dyDescent="0.2">
      <c r="A19" s="12" t="s">
        <v>15</v>
      </c>
      <c r="B19" s="12" t="s">
        <v>11</v>
      </c>
      <c r="C19" s="12" t="s">
        <v>339</v>
      </c>
      <c r="D19" s="12" t="s">
        <v>298</v>
      </c>
      <c r="E19" s="13" t="s">
        <v>311</v>
      </c>
      <c r="F19" s="14" t="str">
        <f>INDEX('Woolworths Products'!$B$2:$B$208,MATCH($E19,'Woolworths Products'!$A$2:$A$208,0))</f>
        <v>Free Range Mixed Sizes Chilled Eggs 6 pk</v>
      </c>
      <c r="G19" s="15">
        <v>2</v>
      </c>
      <c r="H19" s="14" t="str">
        <f>INDEX('Woolworths Products'!$G$2:$G$208,MATCH($E19,'Woolworths Products'!$A$2:$A$208,0))</f>
        <v>ea</v>
      </c>
      <c r="I19" s="14">
        <f>INDEX('Woolworths Products'!$F$2:$F$208,MATCH($E19,'Woolworths Products'!$A$2:$A$208,0))</f>
        <v>6</v>
      </c>
      <c r="J19" s="14">
        <f>INDEX('Woolworths Products'!$E$2:$E$208,MATCH($E19,'Woolworths Products'!$A$2:$A$208,0))</f>
        <v>29.99</v>
      </c>
      <c r="K19" s="5">
        <f>IF(COUNTIFS($A$2:A19,A19,$E$2:E19,E19)=1,ROUNDUP(SUMIFS($G:$G,$A:$A,A19,$E:$E,E19)/I19,0),0)</f>
        <v>1</v>
      </c>
      <c r="L19" s="5">
        <f t="shared" si="0"/>
        <v>29.99</v>
      </c>
      <c r="M19" s="5">
        <f t="shared" si="1"/>
        <v>9.9966666666666661</v>
      </c>
      <c r="N19" s="9"/>
    </row>
    <row r="20" spans="1:14" x14ac:dyDescent="0.2">
      <c r="A20" s="12" t="s">
        <v>15</v>
      </c>
      <c r="B20" s="12" t="s">
        <v>11</v>
      </c>
      <c r="C20" s="12" t="s">
        <v>340</v>
      </c>
      <c r="D20" s="12" t="s">
        <v>298</v>
      </c>
      <c r="E20" s="13" t="s">
        <v>318</v>
      </c>
      <c r="F20" s="14" t="str">
        <f>INDEX('Woolworths Products'!$B$2:$B$208,MATCH($E20,'Woolworths Products'!$A$2:$A$208,0))</f>
        <v>Plain South African Feta Cheese 100 g</v>
      </c>
      <c r="G20" s="15">
        <v>100</v>
      </c>
      <c r="H20" s="14" t="str">
        <f>INDEX('Woolworths Products'!$G$2:$G$208,MATCH($E20,'Woolworths Products'!$A$2:$A$208,0))</f>
        <v>g</v>
      </c>
      <c r="I20" s="14">
        <f>INDEX('Woolworths Products'!$F$2:$F$208,MATCH($E20,'Woolworths Products'!$A$2:$A$208,0))</f>
        <v>100</v>
      </c>
      <c r="J20" s="14">
        <f>INDEX('Woolworths Products'!$E$2:$E$208,MATCH($E20,'Woolworths Products'!$A$2:$A$208,0))</f>
        <v>24.99</v>
      </c>
      <c r="K20" s="5">
        <f>IF(COUNTIFS($A$2:A20,A20,$E$2:E20,E20)=1,ROUNDUP(SUMIFS($G:$G,$A:$A,A20,$E:$E,E20)/I20,0),0)</f>
        <v>1</v>
      </c>
      <c r="L20" s="5">
        <f t="shared" si="0"/>
        <v>24.99</v>
      </c>
      <c r="M20" s="5">
        <f t="shared" si="1"/>
        <v>24.99</v>
      </c>
      <c r="N20" s="9" t="s">
        <v>341</v>
      </c>
    </row>
    <row r="21" spans="1:14" x14ac:dyDescent="0.2">
      <c r="A21" s="12" t="s">
        <v>15</v>
      </c>
      <c r="B21" s="12" t="s">
        <v>11</v>
      </c>
      <c r="C21" s="12" t="s">
        <v>342</v>
      </c>
      <c r="D21" s="12" t="s">
        <v>298</v>
      </c>
      <c r="E21" s="13" t="s">
        <v>343</v>
      </c>
      <c r="F21" s="14" t="str">
        <f>INDEX('Woolworths Products'!$B$2:$B$208,MATCH($E21,'Woolworths Products'!$A$2:$A$208,0))</f>
        <v>Brown Onions 1 kg</v>
      </c>
      <c r="G21" s="15">
        <v>150</v>
      </c>
      <c r="H21" s="14" t="str">
        <f>INDEX('Woolworths Products'!$G$2:$G$208,MATCH($E21,'Woolworths Products'!$A$2:$A$208,0))</f>
        <v>g</v>
      </c>
      <c r="I21" s="14">
        <f>INDEX('Woolworths Products'!$F$2:$F$208,MATCH($E21,'Woolworths Products'!$A$2:$A$208,0))</f>
        <v>1000</v>
      </c>
      <c r="J21" s="14">
        <f>INDEX('Woolworths Products'!$E$2:$E$208,MATCH($E21,'Woolworths Products'!$A$2:$A$208,0))</f>
        <v>39.9</v>
      </c>
      <c r="K21" s="5">
        <f>IF(COUNTIFS($A$2:A21,A21,$E$2:E21,E21)=1,ROUNDUP(SUMIFS($G:$G,$A:$A,A21,$E:$E,E21)/I21,0),0)</f>
        <v>1</v>
      </c>
      <c r="L21" s="5">
        <f t="shared" si="0"/>
        <v>39.9</v>
      </c>
      <c r="M21" s="5">
        <f t="shared" si="1"/>
        <v>5.9849999999999994</v>
      </c>
      <c r="N21" s="9" t="s">
        <v>344</v>
      </c>
    </row>
    <row r="22" spans="1:14" x14ac:dyDescent="0.2">
      <c r="A22" s="12" t="s">
        <v>15</v>
      </c>
      <c r="B22" s="12" t="s">
        <v>11</v>
      </c>
      <c r="C22" s="12" t="s">
        <v>345</v>
      </c>
      <c r="D22" s="12" t="s">
        <v>298</v>
      </c>
      <c r="E22" s="13" t="s">
        <v>323</v>
      </c>
      <c r="F22" s="14" t="str">
        <f>INDEX('Woolworths Products'!$B$2:$B$208,MATCH($E22,'Woolworths Products'!$A$2:$A$208,0))</f>
        <v>Lemons 3 pk</v>
      </c>
      <c r="G22" s="15">
        <v>1</v>
      </c>
      <c r="H22" s="14" t="str">
        <f>INDEX('Woolworths Products'!$G$2:$G$208,MATCH($E22,'Woolworths Products'!$A$2:$A$208,0))</f>
        <v>ea</v>
      </c>
      <c r="I22" s="14">
        <f>INDEX('Woolworths Products'!$F$2:$F$208,MATCH($E22,'Woolworths Products'!$A$2:$A$208,0))</f>
        <v>3</v>
      </c>
      <c r="J22" s="14">
        <f>INDEX('Woolworths Products'!$E$2:$E$208,MATCH($E22,'Woolworths Products'!$A$2:$A$208,0))</f>
        <v>27.99</v>
      </c>
      <c r="K22" s="5">
        <f>IF(COUNTIFS($A$2:A22,A22,$E$2:E22,E22)=1,ROUNDUP(SUMIFS($G:$G,$A:$A,A22,$E:$E,E22)/I22,0),0)</f>
        <v>1</v>
      </c>
      <c r="L22" s="5">
        <f t="shared" si="0"/>
        <v>27.99</v>
      </c>
      <c r="M22" s="5">
        <f t="shared" si="1"/>
        <v>9.3299999999999983</v>
      </c>
      <c r="N22" s="9"/>
    </row>
    <row r="23" spans="1:14" x14ac:dyDescent="0.2">
      <c r="A23" s="16" t="s">
        <v>15</v>
      </c>
      <c r="B23" s="16" t="s">
        <v>11</v>
      </c>
      <c r="C23" s="16" t="s">
        <v>346</v>
      </c>
      <c r="D23" s="16" t="s">
        <v>298</v>
      </c>
      <c r="E23" s="17" t="s">
        <v>347</v>
      </c>
      <c r="F23" s="18" t="str">
        <f>INDEX('Woolworths Products'!$B$2:$B$208,MATCH($E23,'Woolworths Products'!$A$2:$A$208,0))</f>
        <v>White Sesame Seeds 250 g</v>
      </c>
      <c r="G23" s="19">
        <v>9</v>
      </c>
      <c r="H23" s="18" t="str">
        <f>INDEX('Woolworths Products'!$G$2:$G$208,MATCH($E23,'Woolworths Products'!$A$2:$A$208,0))</f>
        <v>g</v>
      </c>
      <c r="I23" s="18">
        <f>INDEX('Woolworths Products'!$F$2:$F$208,MATCH($E23,'Woolworths Products'!$A$2:$A$208,0))</f>
        <v>250</v>
      </c>
      <c r="J23" s="18">
        <f>INDEX('Woolworths Products'!$E$2:$E$208,MATCH($E23,'Woolworths Products'!$A$2:$A$208,0))</f>
        <v>64.989999999999995</v>
      </c>
      <c r="K23" s="20">
        <f>IF(COUNTIFS($A$2:A23,A23,$E$2:E23,E23)=1,ROUNDUP(SUMIFS($G:$G,$A:$A,A23,$E:$E,E23)/I23,0),0)</f>
        <v>1</v>
      </c>
      <c r="L23" s="20">
        <f t="shared" si="0"/>
        <v>64.989999999999995</v>
      </c>
      <c r="M23" s="20">
        <f t="shared" si="1"/>
        <v>2.3396399999999997</v>
      </c>
      <c r="N23" s="21" t="s">
        <v>326</v>
      </c>
    </row>
    <row r="24" spans="1:14" x14ac:dyDescent="0.2">
      <c r="A24" s="13" t="s">
        <v>15</v>
      </c>
      <c r="B24" s="13" t="s">
        <v>11</v>
      </c>
      <c r="C24" s="13" t="s">
        <v>348</v>
      </c>
      <c r="D24" s="13" t="s">
        <v>349</v>
      </c>
      <c r="E24" s="13"/>
      <c r="L24" s="5">
        <v>0</v>
      </c>
      <c r="M24" s="5">
        <v>0</v>
      </c>
      <c r="N24" s="9" t="s">
        <v>348</v>
      </c>
    </row>
    <row r="25" spans="1:14" x14ac:dyDescent="0.2">
      <c r="A25" s="12" t="s">
        <v>16</v>
      </c>
      <c r="B25" s="12" t="s">
        <v>17</v>
      </c>
      <c r="C25" s="12" t="s">
        <v>350</v>
      </c>
      <c r="D25" s="12" t="s">
        <v>298</v>
      </c>
      <c r="E25" s="13" t="s">
        <v>351</v>
      </c>
      <c r="F25" s="14" t="str">
        <f>INDEX('Woolworths Products'!$B$2:$B$208,MATCH($E25,'Woolworths Products'!$A$2:$A$208,0))</f>
        <v>Bulk Pumpkin 800 g</v>
      </c>
      <c r="G25" s="15">
        <v>800</v>
      </c>
      <c r="H25" s="14" t="str">
        <f>INDEX('Woolworths Products'!$G$2:$G$208,MATCH($E25,'Woolworths Products'!$A$2:$A$208,0))</f>
        <v>g</v>
      </c>
      <c r="I25" s="14">
        <f>INDEX('Woolworths Products'!$F$2:$F$208,MATCH($E25,'Woolworths Products'!$A$2:$A$208,0))</f>
        <v>800</v>
      </c>
      <c r="J25" s="14">
        <f>INDEX('Woolworths Products'!$E$2:$E$208,MATCH($E25,'Woolworths Products'!$A$2:$A$208,0))</f>
        <v>49.99</v>
      </c>
      <c r="K25" s="5">
        <f>IF(COUNTIFS($A$2:A25,A25,$E$2:E25,E25)=1,ROUNDUP(SUMIFS($G:$G,$A:$A,A25,$E:$E,E25)/I25,0),0)</f>
        <v>1</v>
      </c>
      <c r="L25" s="5">
        <f>K25*J25</f>
        <v>49.99</v>
      </c>
      <c r="M25" s="5">
        <f>G25/I25*J25</f>
        <v>49.99</v>
      </c>
      <c r="N25" s="9"/>
    </row>
    <row r="26" spans="1:14" x14ac:dyDescent="0.2">
      <c r="A26" s="12" t="s">
        <v>16</v>
      </c>
      <c r="B26" s="12" t="s">
        <v>17</v>
      </c>
      <c r="C26" s="12" t="s">
        <v>352</v>
      </c>
      <c r="D26" s="12" t="s">
        <v>298</v>
      </c>
      <c r="E26" s="13" t="s">
        <v>353</v>
      </c>
      <c r="F26" s="14" t="str">
        <f>INDEX('Woolworths Products'!$B$2:$B$208,MATCH($E26,'Woolworths Products'!$A$2:$A$208,0))</f>
        <v>Cake Wheat Flour 1 kg</v>
      </c>
      <c r="G26" s="15">
        <v>250</v>
      </c>
      <c r="H26" s="14" t="str">
        <f>INDEX('Woolworths Products'!$G$2:$G$208,MATCH($E26,'Woolworths Products'!$A$2:$A$208,0))</f>
        <v>g</v>
      </c>
      <c r="I26" s="14">
        <f>INDEX('Woolworths Products'!$F$2:$F$208,MATCH($E26,'Woolworths Products'!$A$2:$A$208,0))</f>
        <v>1000</v>
      </c>
      <c r="J26" s="14">
        <f>INDEX('Woolworths Products'!$E$2:$E$208,MATCH($E26,'Woolworths Products'!$A$2:$A$208,0))</f>
        <v>21.99</v>
      </c>
      <c r="K26" s="5">
        <f>IF(COUNTIFS($A$2:A26,A26,$E$2:E26,E26)=1,ROUNDUP(SUMIFS($G:$G,$A:$A,A26,$E:$E,E26)/I26,0),0)</f>
        <v>1</v>
      </c>
      <c r="L26" s="5">
        <f>K26*J26</f>
        <v>21.99</v>
      </c>
      <c r="M26" s="5">
        <f>G26/I26*J26</f>
        <v>5.4974999999999996</v>
      </c>
      <c r="N26" s="9" t="s">
        <v>354</v>
      </c>
    </row>
    <row r="27" spans="1:14" x14ac:dyDescent="0.2">
      <c r="A27" s="12" t="s">
        <v>16</v>
      </c>
      <c r="B27" s="12" t="s">
        <v>17</v>
      </c>
      <c r="C27" s="12" t="s">
        <v>355</v>
      </c>
      <c r="D27" s="12" t="s">
        <v>298</v>
      </c>
      <c r="E27" s="13" t="s">
        <v>311</v>
      </c>
      <c r="F27" s="14" t="str">
        <f>INDEX('Woolworths Products'!$B$2:$B$208,MATCH($E27,'Woolworths Products'!$A$2:$A$208,0))</f>
        <v>Free Range Mixed Sizes Chilled Eggs 6 pk</v>
      </c>
      <c r="G27" s="15">
        <v>3</v>
      </c>
      <c r="H27" s="14" t="str">
        <f>INDEX('Woolworths Products'!$G$2:$G$208,MATCH($E27,'Woolworths Products'!$A$2:$A$208,0))</f>
        <v>ea</v>
      </c>
      <c r="I27" s="14">
        <f>INDEX('Woolworths Products'!$F$2:$F$208,MATCH($E27,'Woolworths Products'!$A$2:$A$208,0))</f>
        <v>6</v>
      </c>
      <c r="J27" s="14">
        <f>INDEX('Woolworths Products'!$E$2:$E$208,MATCH($E27,'Woolworths Products'!$A$2:$A$208,0))</f>
        <v>29.99</v>
      </c>
      <c r="K27" s="5">
        <f>IF(COUNTIFS($A$2:A27,A27,$E$2:E27,E27)=1,ROUNDUP(SUMIFS($G:$G,$A:$A,A27,$E:$E,E27)/I27,0),0)</f>
        <v>1</v>
      </c>
      <c r="L27" s="5">
        <f>K27*J27</f>
        <v>29.99</v>
      </c>
      <c r="M27" s="5">
        <f>G27/I27*J27</f>
        <v>14.994999999999999</v>
      </c>
      <c r="N27" s="9"/>
    </row>
    <row r="28" spans="1:14" x14ac:dyDescent="0.2">
      <c r="A28" s="12" t="s">
        <v>16</v>
      </c>
      <c r="B28" s="12" t="s">
        <v>17</v>
      </c>
      <c r="C28" s="12" t="s">
        <v>356</v>
      </c>
      <c r="D28" s="12" t="s">
        <v>298</v>
      </c>
      <c r="E28" s="13" t="s">
        <v>357</v>
      </c>
      <c r="F28" s="14" t="str">
        <f>INDEX('Woolworths Products'!$B$2:$B$208,MATCH($E28,'Woolworths Products'!$A$2:$A$208,0))</f>
        <v>White Sugar 1 kg</v>
      </c>
      <c r="G28" s="15">
        <v>50</v>
      </c>
      <c r="H28" s="14" t="str">
        <f>INDEX('Woolworths Products'!$G$2:$G$208,MATCH($E28,'Woolworths Products'!$A$2:$A$208,0))</f>
        <v>g</v>
      </c>
      <c r="I28" s="14">
        <f>INDEX('Woolworths Products'!$F$2:$F$208,MATCH($E28,'Woolworths Products'!$A$2:$A$208,0))</f>
        <v>1000</v>
      </c>
      <c r="J28" s="14">
        <f>INDEX('Woolworths Products'!$E$2:$E$208,MATCH($E28,'Woolworths Products'!$A$2:$A$208,0))</f>
        <v>33.99</v>
      </c>
      <c r="K28" s="5">
        <f>IF(COUNTIFS($A$2:A28,A28,$E$2:E28,E28)=1,ROUNDUP(SUMIFS($G:$G,$A:$A,A28,$E:$E,E28)/I28,0),0)</f>
        <v>1</v>
      </c>
      <c r="L28" s="5">
        <f>K28*J28</f>
        <v>33.99</v>
      </c>
      <c r="M28" s="5">
        <f>G28/I28*J28</f>
        <v>1.6995000000000002</v>
      </c>
      <c r="N28" s="9"/>
    </row>
    <row r="29" spans="1:14" x14ac:dyDescent="0.2">
      <c r="A29" s="12" t="s">
        <v>16</v>
      </c>
      <c r="B29" s="12" t="s">
        <v>17</v>
      </c>
      <c r="C29" s="12" t="s">
        <v>358</v>
      </c>
      <c r="D29" s="12" t="s">
        <v>298</v>
      </c>
      <c r="E29" s="13" t="s">
        <v>359</v>
      </c>
      <c r="F29" s="14" t="str">
        <f>INDEX('Woolworths Products'!$B$2:$B$208,MATCH($E29,'Woolworths Products'!$A$2:$A$208,0))</f>
        <v>Baking Powder 100 g</v>
      </c>
      <c r="G29" s="15">
        <v>12</v>
      </c>
      <c r="H29" s="14" t="str">
        <f>INDEX('Woolworths Products'!$G$2:$G$208,MATCH($E29,'Woolworths Products'!$A$2:$A$208,0))</f>
        <v>g</v>
      </c>
      <c r="I29" s="14">
        <f>INDEX('Woolworths Products'!$F$2:$F$208,MATCH($E29,'Woolworths Products'!$A$2:$A$208,0))</f>
        <v>100</v>
      </c>
      <c r="J29" s="14">
        <f>INDEX('Woolworths Products'!$E$2:$E$208,MATCH($E29,'Woolworths Products'!$A$2:$A$208,0))</f>
        <v>34.99</v>
      </c>
      <c r="K29" s="5">
        <f>IF(COUNTIFS($A$2:A29,A29,$E$2:E29,E29)=1,ROUNDUP(SUMIFS($G:$G,$A:$A,A29,$E:$E,E29)/I29,0),0)</f>
        <v>1</v>
      </c>
      <c r="L29" s="5">
        <f>K29*J29</f>
        <v>34.99</v>
      </c>
      <c r="M29" s="5">
        <f>G29/I29*J29</f>
        <v>4.1988000000000003</v>
      </c>
      <c r="N29" s="9" t="s">
        <v>360</v>
      </c>
    </row>
    <row r="30" spans="1:14" x14ac:dyDescent="0.2">
      <c r="A30" s="13" t="s">
        <v>16</v>
      </c>
      <c r="B30" s="13" t="s">
        <v>17</v>
      </c>
      <c r="C30" s="13" t="s">
        <v>361</v>
      </c>
      <c r="D30" s="13" t="s">
        <v>349</v>
      </c>
      <c r="E30" s="13"/>
      <c r="L30" s="5">
        <v>0</v>
      </c>
      <c r="M30" s="5">
        <v>0</v>
      </c>
      <c r="N30" s="9" t="s">
        <v>348</v>
      </c>
    </row>
    <row r="31" spans="1:14" x14ac:dyDescent="0.2">
      <c r="A31" s="12" t="s">
        <v>16</v>
      </c>
      <c r="B31" s="12" t="s">
        <v>17</v>
      </c>
      <c r="C31" s="12" t="s">
        <v>362</v>
      </c>
      <c r="D31" s="12" t="s">
        <v>298</v>
      </c>
      <c r="E31" s="13" t="s">
        <v>363</v>
      </c>
      <c r="F31" s="14" t="str">
        <f>INDEX('Woolworths Products'!$B$2:$B$208,MATCH($E31,'Woolworths Products'!$A$2:$A$208,0))</f>
        <v>Vanilla Essence 50 ml</v>
      </c>
      <c r="G31" s="15">
        <v>15</v>
      </c>
      <c r="H31" s="14" t="str">
        <f>INDEX('Woolworths Products'!$G$2:$G$208,MATCH($E31,'Woolworths Products'!$A$2:$A$208,0))</f>
        <v>ml</v>
      </c>
      <c r="I31" s="14">
        <f>INDEX('Woolworths Products'!$F$2:$F$208,MATCH($E31,'Woolworths Products'!$A$2:$A$208,0))</f>
        <v>50</v>
      </c>
      <c r="J31" s="14">
        <f>INDEX('Woolworths Products'!$E$2:$E$208,MATCH($E31,'Woolworths Products'!$A$2:$A$208,0))</f>
        <v>29.99</v>
      </c>
      <c r="K31" s="5">
        <f>IF(COUNTIFS($A$2:A31,A31,$E$2:E31,E31)=1,ROUNDUP(SUMIFS($G:$G,$A:$A,A31,$E:$E,E31)/I31,0),0)</f>
        <v>1</v>
      </c>
      <c r="L31" s="5">
        <f t="shared" ref="L31:L43" si="2">K31*J31</f>
        <v>29.99</v>
      </c>
      <c r="M31" s="5">
        <f t="shared" ref="M31:M43" si="3">G31/I31*J31</f>
        <v>8.9969999999999999</v>
      </c>
      <c r="N31" s="9"/>
    </row>
    <row r="32" spans="1:14" x14ac:dyDescent="0.2">
      <c r="A32" s="12" t="s">
        <v>16</v>
      </c>
      <c r="B32" s="12" t="s">
        <v>17</v>
      </c>
      <c r="C32" s="12" t="s">
        <v>364</v>
      </c>
      <c r="D32" s="12" t="s">
        <v>298</v>
      </c>
      <c r="E32" s="13" t="s">
        <v>365</v>
      </c>
      <c r="F32" s="14" t="str">
        <f>INDEX('Woolworths Products'!$B$2:$B$208,MATCH($E32,'Woolworths Products'!$A$2:$A$208,0))</f>
        <v>Salted Butter 250 g</v>
      </c>
      <c r="G32" s="15">
        <v>50</v>
      </c>
      <c r="H32" s="14" t="str">
        <f>INDEX('Woolworths Products'!$G$2:$G$208,MATCH($E32,'Woolworths Products'!$A$2:$A$208,0))</f>
        <v>g</v>
      </c>
      <c r="I32" s="14">
        <f>INDEX('Woolworths Products'!$F$2:$F$208,MATCH($E32,'Woolworths Products'!$A$2:$A$208,0))</f>
        <v>250</v>
      </c>
      <c r="J32" s="14">
        <f>INDEX('Woolworths Products'!$E$2:$E$208,MATCH($E32,'Woolworths Products'!$A$2:$A$208,0))</f>
        <v>68.989999999999995</v>
      </c>
      <c r="K32" s="5">
        <f>IF(COUNTIFS($A$2:A32,A32,$E$2:E32,E32)=1,ROUNDUP(SUMIFS($G:$G,$A:$A,A32,$E:$E,E32)/I32,0),0)</f>
        <v>1</v>
      </c>
      <c r="L32" s="5">
        <f t="shared" si="2"/>
        <v>68.989999999999995</v>
      </c>
      <c r="M32" s="5">
        <f t="shared" si="3"/>
        <v>13.798</v>
      </c>
      <c r="N32" s="9"/>
    </row>
    <row r="33" spans="1:14" x14ac:dyDescent="0.2">
      <c r="A33" s="16" t="s">
        <v>16</v>
      </c>
      <c r="B33" s="16" t="s">
        <v>17</v>
      </c>
      <c r="C33" s="16" t="s">
        <v>366</v>
      </c>
      <c r="D33" s="16" t="s">
        <v>298</v>
      </c>
      <c r="E33" s="17" t="s">
        <v>367</v>
      </c>
      <c r="F33" s="18" t="str">
        <f>INDEX('Woolworths Products'!$B$2:$B$208,MATCH($E33,'Woolworths Products'!$A$2:$A$208,0))</f>
        <v>Finely Ground Cinnamon Refill 30 g</v>
      </c>
      <c r="G33" s="19">
        <v>3</v>
      </c>
      <c r="H33" s="18" t="str">
        <f>INDEX('Woolworths Products'!$G$2:$G$208,MATCH($E33,'Woolworths Products'!$A$2:$A$208,0))</f>
        <v>g</v>
      </c>
      <c r="I33" s="18">
        <f>INDEX('Woolworths Products'!$F$2:$F$208,MATCH($E33,'Woolworths Products'!$A$2:$A$208,0))</f>
        <v>30</v>
      </c>
      <c r="J33" s="18">
        <f>INDEX('Woolworths Products'!$E$2:$E$208,MATCH($E33,'Woolworths Products'!$A$2:$A$208,0))</f>
        <v>29.99</v>
      </c>
      <c r="K33" s="20">
        <f>IF(COUNTIFS($A$2:A33,A33,$E$2:E33,E33)=1,ROUNDUP(SUMIFS($G:$G,$A:$A,A33,$E:$E,E33)/I33,0),0)</f>
        <v>1</v>
      </c>
      <c r="L33" s="20">
        <f t="shared" si="2"/>
        <v>29.99</v>
      </c>
      <c r="M33" s="20">
        <f t="shared" si="3"/>
        <v>2.9990000000000001</v>
      </c>
      <c r="N33" s="21" t="s">
        <v>368</v>
      </c>
    </row>
    <row r="34" spans="1:14" x14ac:dyDescent="0.2">
      <c r="A34" s="12" t="s">
        <v>16</v>
      </c>
      <c r="B34" s="12" t="s">
        <v>17</v>
      </c>
      <c r="C34" s="12" t="s">
        <v>369</v>
      </c>
      <c r="D34" s="12" t="s">
        <v>298</v>
      </c>
      <c r="E34" s="13" t="s">
        <v>357</v>
      </c>
      <c r="F34" s="14" t="str">
        <f>INDEX('Woolworths Products'!$B$2:$B$208,MATCH($E34,'Woolworths Products'!$A$2:$A$208,0))</f>
        <v>White Sugar 1 kg</v>
      </c>
      <c r="G34" s="15">
        <v>12</v>
      </c>
      <c r="H34" s="14" t="str">
        <f>INDEX('Woolworths Products'!$G$2:$G$208,MATCH($E34,'Woolworths Products'!$A$2:$A$208,0))</f>
        <v>g</v>
      </c>
      <c r="I34" s="14">
        <f>INDEX('Woolworths Products'!$F$2:$F$208,MATCH($E34,'Woolworths Products'!$A$2:$A$208,0))</f>
        <v>1000</v>
      </c>
      <c r="J34" s="14">
        <f>INDEX('Woolworths Products'!$E$2:$E$208,MATCH($E34,'Woolworths Products'!$A$2:$A$208,0))</f>
        <v>33.99</v>
      </c>
      <c r="K34" s="5">
        <f>IF(COUNTIFS($A$2:A34,A34,$E$2:E34,E34)=1,ROUNDUP(SUMIFS($G:$G,$A:$A,A34,$E:$E,E34)/I34,0),0)</f>
        <v>0</v>
      </c>
      <c r="L34" s="5">
        <f t="shared" si="2"/>
        <v>0</v>
      </c>
      <c r="M34" s="5">
        <f t="shared" si="3"/>
        <v>0.40788000000000002</v>
      </c>
      <c r="N34" s="9"/>
    </row>
    <row r="35" spans="1:14" x14ac:dyDescent="0.2">
      <c r="A35" s="12" t="s">
        <v>18</v>
      </c>
      <c r="B35" s="12" t="s">
        <v>11</v>
      </c>
      <c r="C35" s="12" t="s">
        <v>370</v>
      </c>
      <c r="D35" s="12" t="s">
        <v>298</v>
      </c>
      <c r="E35" s="13" t="s">
        <v>371</v>
      </c>
      <c r="F35" s="14" t="str">
        <f>INDEX('Woolworths Products'!$B$2:$B$208,MATCH($E35,'Woolworths Products'!$A$2:$A$208,0))</f>
        <v>Halaal Lean Beef Mince 500 g</v>
      </c>
      <c r="G35" s="15">
        <v>1000</v>
      </c>
      <c r="H35" s="14" t="str">
        <f>INDEX('Woolworths Products'!$G$2:$G$208,MATCH($E35,'Woolworths Products'!$A$2:$A$208,0))</f>
        <v>g</v>
      </c>
      <c r="I35" s="14">
        <f>INDEX('Woolworths Products'!$F$2:$F$208,MATCH($E35,'Woolworths Products'!$A$2:$A$208,0))</f>
        <v>500</v>
      </c>
      <c r="J35" s="14">
        <f>INDEX('Woolworths Products'!$E$2:$E$208,MATCH($E35,'Woolworths Products'!$A$2:$A$208,0))</f>
        <v>64.989999999999995</v>
      </c>
      <c r="K35" s="5">
        <f>IF(COUNTIFS($A$2:A35,A35,$E$2:E35,E35)=1,ROUNDUP(SUMIFS($G:$G,$A:$A,A35,$E:$E,E35)/I35,0),0)</f>
        <v>2</v>
      </c>
      <c r="L35" s="5">
        <f t="shared" si="2"/>
        <v>129.97999999999999</v>
      </c>
      <c r="M35" s="5">
        <f t="shared" si="3"/>
        <v>129.97999999999999</v>
      </c>
      <c r="N35" s="9"/>
    </row>
    <row r="36" spans="1:14" x14ac:dyDescent="0.2">
      <c r="A36" s="12" t="s">
        <v>18</v>
      </c>
      <c r="B36" s="12" t="s">
        <v>11</v>
      </c>
      <c r="C36" s="12" t="s">
        <v>372</v>
      </c>
      <c r="D36" s="12" t="s">
        <v>298</v>
      </c>
      <c r="E36" s="13" t="s">
        <v>343</v>
      </c>
      <c r="F36" s="14" t="str">
        <f>INDEX('Woolworths Products'!$B$2:$B$208,MATCH($E36,'Woolworths Products'!$A$2:$A$208,0))</f>
        <v>Brown Onions 1 kg</v>
      </c>
      <c r="G36" s="15">
        <v>150</v>
      </c>
      <c r="H36" s="14" t="str">
        <f>INDEX('Woolworths Products'!$G$2:$G$208,MATCH($E36,'Woolworths Products'!$A$2:$A$208,0))</f>
        <v>g</v>
      </c>
      <c r="I36" s="14">
        <f>INDEX('Woolworths Products'!$F$2:$F$208,MATCH($E36,'Woolworths Products'!$A$2:$A$208,0))</f>
        <v>1000</v>
      </c>
      <c r="J36" s="14">
        <f>INDEX('Woolworths Products'!$E$2:$E$208,MATCH($E36,'Woolworths Products'!$A$2:$A$208,0))</f>
        <v>39.9</v>
      </c>
      <c r="K36" s="5">
        <f>IF(COUNTIFS($A$2:A36,A36,$E$2:E36,E36)=1,ROUNDUP(SUMIFS($G:$G,$A:$A,A36,$E:$E,E36)/I36,0),0)</f>
        <v>1</v>
      </c>
      <c r="L36" s="5">
        <f t="shared" si="2"/>
        <v>39.9</v>
      </c>
      <c r="M36" s="5">
        <f t="shared" si="3"/>
        <v>5.9849999999999994</v>
      </c>
      <c r="N36" s="9" t="s">
        <v>344</v>
      </c>
    </row>
    <row r="37" spans="1:14" x14ac:dyDescent="0.2">
      <c r="A37" s="12" t="s">
        <v>18</v>
      </c>
      <c r="B37" s="12" t="s">
        <v>11</v>
      </c>
      <c r="C37" s="12" t="s">
        <v>373</v>
      </c>
      <c r="D37" s="12" t="s">
        <v>298</v>
      </c>
      <c r="E37" s="13" t="s">
        <v>374</v>
      </c>
      <c r="F37" s="14" t="str">
        <f>INDEX('Woolworths Products'!$B$2:$B$208,MATCH($E37,'Woolworths Products'!$A$2:$A$208,0))</f>
        <v>Granny Smith Apples 4 pk</v>
      </c>
      <c r="G37" s="15">
        <v>2</v>
      </c>
      <c r="H37" s="14" t="str">
        <f>INDEX('Woolworths Products'!$G$2:$G$208,MATCH($E37,'Woolworths Products'!$A$2:$A$208,0))</f>
        <v>ea</v>
      </c>
      <c r="I37" s="14">
        <f>INDEX('Woolworths Products'!$F$2:$F$208,MATCH($E37,'Woolworths Products'!$A$2:$A$208,0))</f>
        <v>4</v>
      </c>
      <c r="J37" s="14">
        <f>INDEX('Woolworths Products'!$E$2:$E$208,MATCH($E37,'Woolworths Products'!$A$2:$A$208,0))</f>
        <v>28.99</v>
      </c>
      <c r="K37" s="5">
        <f>IF(COUNTIFS($A$2:A37,A37,$E$2:E37,E37)=1,ROUNDUP(SUMIFS($G:$G,$A:$A,A37,$E:$E,E37)/I37,0),0)</f>
        <v>1</v>
      </c>
      <c r="L37" s="5">
        <f t="shared" si="2"/>
        <v>28.99</v>
      </c>
      <c r="M37" s="5">
        <f t="shared" si="3"/>
        <v>14.494999999999999</v>
      </c>
      <c r="N37" s="9"/>
    </row>
    <row r="38" spans="1:14" x14ac:dyDescent="0.2">
      <c r="A38" s="12" t="s">
        <v>18</v>
      </c>
      <c r="B38" s="12" t="s">
        <v>11</v>
      </c>
      <c r="C38" s="12" t="s">
        <v>375</v>
      </c>
      <c r="D38" s="12" t="s">
        <v>298</v>
      </c>
      <c r="E38" s="13" t="s">
        <v>311</v>
      </c>
      <c r="F38" s="14" t="str">
        <f>INDEX('Woolworths Products'!$B$2:$B$208,MATCH($E38,'Woolworths Products'!$A$2:$A$208,0))</f>
        <v>Free Range Mixed Sizes Chilled Eggs 6 pk</v>
      </c>
      <c r="G38" s="15">
        <v>2</v>
      </c>
      <c r="H38" s="14" t="str">
        <f>INDEX('Woolworths Products'!$G$2:$G$208,MATCH($E38,'Woolworths Products'!$A$2:$A$208,0))</f>
        <v>ea</v>
      </c>
      <c r="I38" s="14">
        <f>INDEX('Woolworths Products'!$F$2:$F$208,MATCH($E38,'Woolworths Products'!$A$2:$A$208,0))</f>
        <v>6</v>
      </c>
      <c r="J38" s="14">
        <f>INDEX('Woolworths Products'!$E$2:$E$208,MATCH($E38,'Woolworths Products'!$A$2:$A$208,0))</f>
        <v>29.99</v>
      </c>
      <c r="K38" s="5">
        <f>IF(COUNTIFS($A$2:A38,A38,$E$2:E38,E38)=1,ROUNDUP(SUMIFS($G:$G,$A:$A,A38,$E:$E,E38)/I38,0),0)</f>
        <v>1</v>
      </c>
      <c r="L38" s="5">
        <f t="shared" si="2"/>
        <v>29.99</v>
      </c>
      <c r="M38" s="5">
        <f t="shared" si="3"/>
        <v>9.9966666666666661</v>
      </c>
      <c r="N38" s="9"/>
    </row>
    <row r="39" spans="1:14" x14ac:dyDescent="0.2">
      <c r="A39" s="12" t="s">
        <v>18</v>
      </c>
      <c r="B39" s="12" t="s">
        <v>11</v>
      </c>
      <c r="C39" s="12" t="s">
        <v>376</v>
      </c>
      <c r="D39" s="12" t="s">
        <v>298</v>
      </c>
      <c r="E39" s="13" t="s">
        <v>377</v>
      </c>
      <c r="F39" s="14" t="str">
        <f>INDEX('Woolworths Products'!$B$2:$B$208,MATCH($E39,'Woolworths Products'!$A$2:$A$208,0))</f>
        <v>Fresh Peeled Garlic 50 g</v>
      </c>
      <c r="G39" s="15">
        <v>3</v>
      </c>
      <c r="H39" s="14" t="str">
        <f>INDEX('Woolworths Products'!$G$2:$G$208,MATCH($E39,'Woolworths Products'!$A$2:$A$208,0))</f>
        <v>clove</v>
      </c>
      <c r="I39" s="14">
        <f>INDEX('Woolworths Products'!$F$2:$F$208,MATCH($E39,'Woolworths Products'!$A$2:$A$208,0))</f>
        <v>10</v>
      </c>
      <c r="J39" s="14">
        <f>INDEX('Woolworths Products'!$E$2:$E$208,MATCH($E39,'Woolworths Products'!$A$2:$A$208,0))</f>
        <v>29.99</v>
      </c>
      <c r="K39" s="5">
        <f>IF(COUNTIFS($A$2:A39,A39,$E$2:E39,E39)=1,ROUNDUP(SUMIFS($G:$G,$A:$A,A39,$E:$E,E39)/I39,0),0)</f>
        <v>1</v>
      </c>
      <c r="L39" s="5">
        <f t="shared" si="2"/>
        <v>29.99</v>
      </c>
      <c r="M39" s="5">
        <f t="shared" si="3"/>
        <v>8.9969999999999999</v>
      </c>
      <c r="N39" s="9" t="s">
        <v>378</v>
      </c>
    </row>
    <row r="40" spans="1:14" x14ac:dyDescent="0.2">
      <c r="A40" s="12" t="s">
        <v>18</v>
      </c>
      <c r="B40" s="12" t="s">
        <v>11</v>
      </c>
      <c r="C40" s="12" t="s">
        <v>379</v>
      </c>
      <c r="D40" s="12" t="s">
        <v>298</v>
      </c>
      <c r="E40" s="13" t="s">
        <v>380</v>
      </c>
      <c r="F40" s="14" t="str">
        <f>INDEX('Woolworths Products'!$B$2:$B$208,MATCH($E40,'Woolworths Products'!$A$2:$A$208,0))</f>
        <v>All Gold Original Tomato Sauce 500 ml</v>
      </c>
      <c r="G40" s="15">
        <v>30</v>
      </c>
      <c r="H40" s="14" t="str">
        <f>INDEX('Woolworths Products'!$G$2:$G$208,MATCH($E40,'Woolworths Products'!$A$2:$A$208,0))</f>
        <v>ml</v>
      </c>
      <c r="I40" s="14">
        <f>INDEX('Woolworths Products'!$F$2:$F$208,MATCH($E40,'Woolworths Products'!$A$2:$A$208,0))</f>
        <v>500</v>
      </c>
      <c r="J40" s="14">
        <f>INDEX('Woolworths Products'!$E$2:$E$208,MATCH($E40,'Woolworths Products'!$A$2:$A$208,0))</f>
        <v>37.99</v>
      </c>
      <c r="K40" s="5">
        <f>IF(COUNTIFS($A$2:A40,A40,$E$2:E40,E40)=1,ROUNDUP(SUMIFS($G:$G,$A:$A,A40,$E:$E,E40)/I40,0),0)</f>
        <v>1</v>
      </c>
      <c r="L40" s="5">
        <f t="shared" si="2"/>
        <v>37.99</v>
      </c>
      <c r="M40" s="5">
        <f t="shared" si="3"/>
        <v>2.2793999999999999</v>
      </c>
      <c r="N40" s="9"/>
    </row>
    <row r="41" spans="1:14" x14ac:dyDescent="0.2">
      <c r="A41" s="12" t="s">
        <v>18</v>
      </c>
      <c r="B41" s="12" t="s">
        <v>11</v>
      </c>
      <c r="C41" s="12" t="s">
        <v>381</v>
      </c>
      <c r="D41" s="12" t="s">
        <v>298</v>
      </c>
      <c r="E41" s="13" t="s">
        <v>382</v>
      </c>
      <c r="F41" s="14" t="str">
        <f>INDEX('Woolworths Products'!$B$2:$B$208,MATCH($E41,'Woolworths Products'!$A$2:$A$208,0))</f>
        <v>Fresh Parsley 30 g</v>
      </c>
      <c r="G41" s="15">
        <v>0.5</v>
      </c>
      <c r="H41" s="14" t="str">
        <f>INDEX('Woolworths Products'!$G$2:$G$208,MATCH($E41,'Woolworths Products'!$A$2:$A$208,0))</f>
        <v>punnet</v>
      </c>
      <c r="I41" s="14">
        <f>INDEX('Woolworths Products'!$F$2:$F$208,MATCH($E41,'Woolworths Products'!$A$2:$A$208,0))</f>
        <v>1</v>
      </c>
      <c r="J41" s="14">
        <f>INDEX('Woolworths Products'!$E$2:$E$208,MATCH($E41,'Woolworths Products'!$A$2:$A$208,0))</f>
        <v>15.99</v>
      </c>
      <c r="K41" s="5">
        <f>IF(COUNTIFS($A$2:A41,A41,$E$2:E41,E41)=1,ROUNDUP(SUMIFS($G:$G,$A:$A,A41,$E:$E,E41)/I41,0),0)</f>
        <v>1</v>
      </c>
      <c r="L41" s="5">
        <f t="shared" si="2"/>
        <v>15.99</v>
      </c>
      <c r="M41" s="5">
        <f t="shared" si="3"/>
        <v>7.9950000000000001</v>
      </c>
      <c r="N41" s="9" t="s">
        <v>383</v>
      </c>
    </row>
    <row r="42" spans="1:14" x14ac:dyDescent="0.2">
      <c r="A42" s="12" t="s">
        <v>18</v>
      </c>
      <c r="B42" s="12" t="s">
        <v>11</v>
      </c>
      <c r="C42" s="12" t="s">
        <v>384</v>
      </c>
      <c r="D42" s="12" t="s">
        <v>298</v>
      </c>
      <c r="E42" s="13" t="s">
        <v>385</v>
      </c>
      <c r="F42" s="14" t="str">
        <f>INDEX('Woolworths Products'!$B$2:$B$208,MATCH($E42,'Woolworths Products'!$A$2:$A$208,0))</f>
        <v>Toasted Ciabatta Breadcrumbs 180 g</v>
      </c>
      <c r="G42" s="15">
        <v>80</v>
      </c>
      <c r="H42" s="14" t="str">
        <f>INDEX('Woolworths Products'!$G$2:$G$208,MATCH($E42,'Woolworths Products'!$A$2:$A$208,0))</f>
        <v>g</v>
      </c>
      <c r="I42" s="14">
        <f>INDEX('Woolworths Products'!$F$2:$F$208,MATCH($E42,'Woolworths Products'!$A$2:$A$208,0))</f>
        <v>180</v>
      </c>
      <c r="J42" s="14">
        <f>INDEX('Woolworths Products'!$E$2:$E$208,MATCH($E42,'Woolworths Products'!$A$2:$A$208,0))</f>
        <v>45</v>
      </c>
      <c r="K42" s="5">
        <f>IF(COUNTIFS($A$2:A42,A42,$E$2:E42,E42)=1,ROUNDUP(SUMIFS($G:$G,$A:$A,A42,$E:$E,E42)/I42,0),0)</f>
        <v>1</v>
      </c>
      <c r="L42" s="5">
        <f t="shared" si="2"/>
        <v>45</v>
      </c>
      <c r="M42" s="5">
        <f t="shared" si="3"/>
        <v>20</v>
      </c>
      <c r="N42" s="9" t="s">
        <v>386</v>
      </c>
    </row>
    <row r="43" spans="1:14" x14ac:dyDescent="0.2">
      <c r="A43" s="12" t="s">
        <v>18</v>
      </c>
      <c r="B43" s="12" t="s">
        <v>11</v>
      </c>
      <c r="C43" s="12" t="s">
        <v>387</v>
      </c>
      <c r="D43" s="12" t="s">
        <v>298</v>
      </c>
      <c r="E43" s="13" t="s">
        <v>388</v>
      </c>
      <c r="F43" s="14" t="str">
        <f>INDEX('Woolworths Products'!$B$2:$B$208,MATCH($E43,'Woolworths Products'!$A$2:$A$208,0))</f>
        <v>Long Life Full Cream Milk 1 L</v>
      </c>
      <c r="G43" s="15">
        <v>167</v>
      </c>
      <c r="H43" s="14" t="str">
        <f>INDEX('Woolworths Products'!$G$2:$G$208,MATCH($E43,'Woolworths Products'!$A$2:$A$208,0))</f>
        <v>ml</v>
      </c>
      <c r="I43" s="14">
        <f>INDEX('Woolworths Products'!$F$2:$F$208,MATCH($E43,'Woolworths Products'!$A$2:$A$208,0))</f>
        <v>1000</v>
      </c>
      <c r="J43" s="14">
        <f>INDEX('Woolworths Products'!$E$2:$E$208,MATCH($E43,'Woolworths Products'!$A$2:$A$208,0))</f>
        <v>22.99</v>
      </c>
      <c r="K43" s="5">
        <f>IF(COUNTIFS($A$2:A43,A43,$E$2:E43,E43)=1,ROUNDUP(SUMIFS($G:$G,$A:$A,A43,$E:$E,E43)/I43,0),0)</f>
        <v>1</v>
      </c>
      <c r="L43" s="5">
        <f t="shared" si="2"/>
        <v>22.99</v>
      </c>
      <c r="M43" s="5">
        <f t="shared" si="3"/>
        <v>3.8393299999999999</v>
      </c>
      <c r="N43" s="9"/>
    </row>
    <row r="44" spans="1:14" x14ac:dyDescent="0.2">
      <c r="A44" s="13" t="s">
        <v>18</v>
      </c>
      <c r="B44" s="13" t="s">
        <v>11</v>
      </c>
      <c r="C44" s="13" t="s">
        <v>361</v>
      </c>
      <c r="D44" s="13" t="s">
        <v>349</v>
      </c>
      <c r="E44" s="13"/>
      <c r="L44" s="5">
        <v>0</v>
      </c>
      <c r="M44" s="5">
        <v>0</v>
      </c>
      <c r="N44" s="9" t="s">
        <v>348</v>
      </c>
    </row>
    <row r="45" spans="1:14" x14ac:dyDescent="0.2">
      <c r="A45" s="12" t="s">
        <v>18</v>
      </c>
      <c r="B45" s="12" t="s">
        <v>11</v>
      </c>
      <c r="C45" s="12" t="s">
        <v>389</v>
      </c>
      <c r="D45" s="12" t="s">
        <v>298</v>
      </c>
      <c r="E45" s="13" t="s">
        <v>390</v>
      </c>
      <c r="F45" s="14" t="str">
        <f>INDEX('Woolworths Products'!$B$2:$B$208,MATCH($E45,'Woolworths Products'!$A$2:$A$208,0))</f>
        <v>Italian Herbs Refill 10 g</v>
      </c>
      <c r="G45" s="15">
        <v>1</v>
      </c>
      <c r="H45" s="14" t="str">
        <f>INDEX('Woolworths Products'!$G$2:$G$208,MATCH($E45,'Woolworths Products'!$A$2:$A$208,0))</f>
        <v>g</v>
      </c>
      <c r="I45" s="14">
        <f>INDEX('Woolworths Products'!$F$2:$F$208,MATCH($E45,'Woolworths Products'!$A$2:$A$208,0))</f>
        <v>10</v>
      </c>
      <c r="J45" s="14">
        <f>INDEX('Woolworths Products'!$E$2:$E$208,MATCH($E45,'Woolworths Products'!$A$2:$A$208,0))</f>
        <v>25.99</v>
      </c>
      <c r="K45" s="5">
        <f>IF(COUNTIFS($A$2:A45,A45,$E$2:E45,E45)=1,ROUNDUP(SUMIFS($G:$G,$A:$A,A45,$E:$E,E45)/I45,0),0)</f>
        <v>1</v>
      </c>
      <c r="L45" s="5">
        <f>K45*J45</f>
        <v>25.99</v>
      </c>
      <c r="M45" s="5">
        <f>G45/I45*J45</f>
        <v>2.5990000000000002</v>
      </c>
      <c r="N45" s="9" t="s">
        <v>391</v>
      </c>
    </row>
    <row r="46" spans="1:14" x14ac:dyDescent="0.2">
      <c r="A46" s="13" t="s">
        <v>18</v>
      </c>
      <c r="B46" s="13" t="s">
        <v>11</v>
      </c>
      <c r="C46" s="13" t="s">
        <v>392</v>
      </c>
      <c r="D46" s="13" t="s">
        <v>349</v>
      </c>
      <c r="E46" s="13"/>
      <c r="L46" s="5">
        <v>0</v>
      </c>
      <c r="M46" s="5">
        <v>0</v>
      </c>
      <c r="N46" s="9" t="s">
        <v>393</v>
      </c>
    </row>
    <row r="47" spans="1:14" x14ac:dyDescent="0.2">
      <c r="A47" s="12" t="s">
        <v>18</v>
      </c>
      <c r="B47" s="12" t="s">
        <v>11</v>
      </c>
      <c r="C47" s="12" t="s">
        <v>394</v>
      </c>
      <c r="D47" s="12" t="s">
        <v>298</v>
      </c>
      <c r="E47" s="13" t="s">
        <v>380</v>
      </c>
      <c r="F47" s="14" t="str">
        <f>INDEX('Woolworths Products'!$B$2:$B$208,MATCH($E47,'Woolworths Products'!$A$2:$A$208,0))</f>
        <v>All Gold Original Tomato Sauce 500 ml</v>
      </c>
      <c r="G47" s="15">
        <v>83</v>
      </c>
      <c r="H47" s="14" t="str">
        <f>INDEX('Woolworths Products'!$G$2:$G$208,MATCH($E47,'Woolworths Products'!$A$2:$A$208,0))</f>
        <v>ml</v>
      </c>
      <c r="I47" s="14">
        <f>INDEX('Woolworths Products'!$F$2:$F$208,MATCH($E47,'Woolworths Products'!$A$2:$A$208,0))</f>
        <v>500</v>
      </c>
      <c r="J47" s="14">
        <f>INDEX('Woolworths Products'!$E$2:$E$208,MATCH($E47,'Woolworths Products'!$A$2:$A$208,0))</f>
        <v>37.99</v>
      </c>
      <c r="K47" s="5">
        <f>IF(COUNTIFS($A$2:A47,A47,$E$2:E47,E47)=1,ROUNDUP(SUMIFS($G:$G,$A:$A,A47,$E:$E,E47)/I47,0),0)</f>
        <v>0</v>
      </c>
      <c r="L47" s="5">
        <f t="shared" ref="L47:L54" si="4">K47*J47</f>
        <v>0</v>
      </c>
      <c r="M47" s="5">
        <f t="shared" ref="M47:M54" si="5">G47/I47*J47</f>
        <v>6.3063400000000005</v>
      </c>
      <c r="N47" s="9"/>
    </row>
    <row r="48" spans="1:14" x14ac:dyDescent="0.2">
      <c r="A48" s="16" t="s">
        <v>18</v>
      </c>
      <c r="B48" s="16" t="s">
        <v>11</v>
      </c>
      <c r="C48" s="16" t="s">
        <v>395</v>
      </c>
      <c r="D48" s="16" t="s">
        <v>396</v>
      </c>
      <c r="E48" s="17" t="s">
        <v>397</v>
      </c>
      <c r="F48" s="18" t="str">
        <f>INDEX('Woolworths Products'!$B$2:$B$208,MATCH($E48,'Woolworths Products'!$A$2:$A$208,0))</f>
        <v>Luxury Steak Sauce 200 ml</v>
      </c>
      <c r="G48" s="19">
        <v>83</v>
      </c>
      <c r="H48" s="18" t="str">
        <f>INDEX('Woolworths Products'!$G$2:$G$208,MATCH($E48,'Woolworths Products'!$A$2:$A$208,0))</f>
        <v>ml</v>
      </c>
      <c r="I48" s="18">
        <f>INDEX('Woolworths Products'!$F$2:$F$208,MATCH($E48,'Woolworths Products'!$A$2:$A$208,0))</f>
        <v>200</v>
      </c>
      <c r="J48" s="18">
        <f>INDEX('Woolworths Products'!$E$2:$E$208,MATCH($E48,'Woolworths Products'!$A$2:$A$208,0))</f>
        <v>48.99</v>
      </c>
      <c r="K48" s="20">
        <f>IF(COUNTIFS($A$2:A48,A48,$E$2:E48,E48)=1,ROUNDUP(SUMIFS($G:$G,$A:$A,A48,$E:$E,E48)/I48,0),0)</f>
        <v>1</v>
      </c>
      <c r="L48" s="20">
        <f t="shared" si="4"/>
        <v>48.99</v>
      </c>
      <c r="M48" s="20">
        <f t="shared" si="5"/>
        <v>20.330849999999998</v>
      </c>
      <c r="N48" s="21" t="s">
        <v>398</v>
      </c>
    </row>
    <row r="49" spans="1:14" x14ac:dyDescent="0.2">
      <c r="A49" s="12" t="s">
        <v>18</v>
      </c>
      <c r="B49" s="12" t="s">
        <v>11</v>
      </c>
      <c r="C49" s="12" t="s">
        <v>399</v>
      </c>
      <c r="D49" s="12" t="s">
        <v>298</v>
      </c>
      <c r="E49" s="13" t="s">
        <v>400</v>
      </c>
      <c r="F49" s="14" t="str">
        <f>INDEX('Woolworths Products'!$B$2:$B$208,MATCH($E49,'Woolworths Products'!$A$2:$A$208,0))</f>
        <v>White Spirit Vinegar 750 ml</v>
      </c>
      <c r="G49" s="15">
        <v>30</v>
      </c>
      <c r="H49" s="14" t="str">
        <f>INDEX('Woolworths Products'!$G$2:$G$208,MATCH($E49,'Woolworths Products'!$A$2:$A$208,0))</f>
        <v>ml</v>
      </c>
      <c r="I49" s="14">
        <f>INDEX('Woolworths Products'!$F$2:$F$208,MATCH($E49,'Woolworths Products'!$A$2:$A$208,0))</f>
        <v>750</v>
      </c>
      <c r="J49" s="14">
        <f>INDEX('Woolworths Products'!$E$2:$E$208,MATCH($E49,'Woolworths Products'!$A$2:$A$208,0))</f>
        <v>25.99</v>
      </c>
      <c r="K49" s="5">
        <f>IF(COUNTIFS($A$2:A49,A49,$E$2:E49,E49)=1,ROUNDUP(SUMIFS($G:$G,$A:$A,A49,$E:$E,E49)/I49,0),0)</f>
        <v>1</v>
      </c>
      <c r="L49" s="5">
        <f t="shared" si="4"/>
        <v>25.99</v>
      </c>
      <c r="M49" s="5">
        <f t="shared" si="5"/>
        <v>1.0395999999999999</v>
      </c>
      <c r="N49" s="9"/>
    </row>
    <row r="50" spans="1:14" x14ac:dyDescent="0.2">
      <c r="A50" s="12" t="s">
        <v>19</v>
      </c>
      <c r="B50" s="12" t="s">
        <v>20</v>
      </c>
      <c r="C50" s="12" t="s">
        <v>401</v>
      </c>
      <c r="D50" s="12" t="s">
        <v>298</v>
      </c>
      <c r="E50" s="13" t="s">
        <v>402</v>
      </c>
      <c r="F50" s="14" t="str">
        <f>INDEX('Woolworths Products'!$B$2:$B$208,MATCH($E50,'Woolworths Products'!$A$2:$A$208,0))</f>
        <v>Sardines in Vegetable Oil 120 g</v>
      </c>
      <c r="G50" s="15">
        <v>1</v>
      </c>
      <c r="H50" s="14" t="str">
        <f>INDEX('Woolworths Products'!$G$2:$G$208,MATCH($E50,'Woolworths Products'!$A$2:$A$208,0))</f>
        <v>ea</v>
      </c>
      <c r="I50" s="14">
        <f>INDEX('Woolworths Products'!$F$2:$F$208,MATCH($E50,'Woolworths Products'!$A$2:$A$208,0))</f>
        <v>1</v>
      </c>
      <c r="J50" s="14">
        <f>INDEX('Woolworths Products'!$E$2:$E$208,MATCH($E50,'Woolworths Products'!$A$2:$A$208,0))</f>
        <v>33.99</v>
      </c>
      <c r="K50" s="5">
        <f>IF(COUNTIFS($A$2:A50,A50,$E$2:E50,E50)=1,ROUNDUP(SUMIFS($G:$G,$A:$A,A50,$E:$E,E50)/I50,0),0)</f>
        <v>1</v>
      </c>
      <c r="L50" s="5">
        <f t="shared" si="4"/>
        <v>33.99</v>
      </c>
      <c r="M50" s="5">
        <f t="shared" si="5"/>
        <v>33.99</v>
      </c>
      <c r="N50" s="9"/>
    </row>
    <row r="51" spans="1:14" x14ac:dyDescent="0.2">
      <c r="A51" s="12" t="s">
        <v>19</v>
      </c>
      <c r="B51" s="12" t="s">
        <v>20</v>
      </c>
      <c r="C51" s="12" t="s">
        <v>403</v>
      </c>
      <c r="D51" s="12" t="s">
        <v>298</v>
      </c>
      <c r="E51" s="13" t="s">
        <v>404</v>
      </c>
      <c r="F51" s="14" t="str">
        <f>INDEX('Woolworths Products'!$B$2:$B$208,MATCH($E51,'Woolworths Products'!$A$2:$A$208,0))</f>
        <v>Red Onions 1 kg</v>
      </c>
      <c r="G51" s="15">
        <v>75</v>
      </c>
      <c r="H51" s="14" t="str">
        <f>INDEX('Woolworths Products'!$G$2:$G$208,MATCH($E51,'Woolworths Products'!$A$2:$A$208,0))</f>
        <v>g</v>
      </c>
      <c r="I51" s="14">
        <f>INDEX('Woolworths Products'!$F$2:$F$208,MATCH($E51,'Woolworths Products'!$A$2:$A$208,0))</f>
        <v>1000</v>
      </c>
      <c r="J51" s="14">
        <f>INDEX('Woolworths Products'!$E$2:$E$208,MATCH($E51,'Woolworths Products'!$A$2:$A$208,0))</f>
        <v>73.989999999999995</v>
      </c>
      <c r="K51" s="5">
        <f>IF(COUNTIFS($A$2:A51,A51,$E$2:E51,E51)=1,ROUNDUP(SUMIFS($G:$G,$A:$A,A51,$E:$E,E51)/I51,0),0)</f>
        <v>1</v>
      </c>
      <c r="L51" s="5">
        <f t="shared" si="4"/>
        <v>73.989999999999995</v>
      </c>
      <c r="M51" s="5">
        <f t="shared" si="5"/>
        <v>5.5492499999999998</v>
      </c>
      <c r="N51" s="9" t="s">
        <v>405</v>
      </c>
    </row>
    <row r="52" spans="1:14" x14ac:dyDescent="0.2">
      <c r="A52" s="16" t="s">
        <v>19</v>
      </c>
      <c r="B52" s="16" t="s">
        <v>20</v>
      </c>
      <c r="C52" s="16" t="s">
        <v>406</v>
      </c>
      <c r="D52" s="16" t="s">
        <v>298</v>
      </c>
      <c r="E52" s="17" t="s">
        <v>323</v>
      </c>
      <c r="F52" s="18" t="str">
        <f>INDEX('Woolworths Products'!$B$2:$B$208,MATCH($E52,'Woolworths Products'!$A$2:$A$208,0))</f>
        <v>Lemons 3 pk</v>
      </c>
      <c r="G52" s="19">
        <v>0.5</v>
      </c>
      <c r="H52" s="18" t="str">
        <f>INDEX('Woolworths Products'!$G$2:$G$208,MATCH($E52,'Woolworths Products'!$A$2:$A$208,0))</f>
        <v>ea</v>
      </c>
      <c r="I52" s="18">
        <f>INDEX('Woolworths Products'!$F$2:$F$208,MATCH($E52,'Woolworths Products'!$A$2:$A$208,0))</f>
        <v>3</v>
      </c>
      <c r="J52" s="18">
        <f>INDEX('Woolworths Products'!$E$2:$E$208,MATCH($E52,'Woolworths Products'!$A$2:$A$208,0))</f>
        <v>27.99</v>
      </c>
      <c r="K52" s="20">
        <f>IF(COUNTIFS($A$2:A52,A52,$E$2:E52,E52)=1,ROUNDUP(SUMIFS($G:$G,$A:$A,A52,$E:$E,E52)/I52,0),0)</f>
        <v>1</v>
      </c>
      <c r="L52" s="20">
        <f t="shared" si="4"/>
        <v>27.99</v>
      </c>
      <c r="M52" s="20">
        <f t="shared" si="5"/>
        <v>4.6649999999999991</v>
      </c>
      <c r="N52" s="21" t="s">
        <v>407</v>
      </c>
    </row>
    <row r="53" spans="1:14" x14ac:dyDescent="0.2">
      <c r="A53" s="16" t="s">
        <v>19</v>
      </c>
      <c r="B53" s="16" t="s">
        <v>20</v>
      </c>
      <c r="C53" s="16" t="s">
        <v>408</v>
      </c>
      <c r="D53" s="16" t="s">
        <v>298</v>
      </c>
      <c r="E53" s="17" t="s">
        <v>409</v>
      </c>
      <c r="F53" s="18" t="str">
        <f>INDEX('Woolworths Products'!$B$2:$B$208,MATCH($E53,'Woolworths Products'!$A$2:$A$208,0))</f>
        <v>Fresh Coriander 30 g</v>
      </c>
      <c r="G53" s="19">
        <v>0.25</v>
      </c>
      <c r="H53" s="18" t="str">
        <f>INDEX('Woolworths Products'!$G$2:$G$208,MATCH($E53,'Woolworths Products'!$A$2:$A$208,0))</f>
        <v>punnet</v>
      </c>
      <c r="I53" s="18">
        <f>INDEX('Woolworths Products'!$F$2:$F$208,MATCH($E53,'Woolworths Products'!$A$2:$A$208,0))</f>
        <v>1</v>
      </c>
      <c r="J53" s="18">
        <f>INDEX('Woolworths Products'!$E$2:$E$208,MATCH($E53,'Woolworths Products'!$A$2:$A$208,0))</f>
        <v>15.99</v>
      </c>
      <c r="K53" s="20">
        <f>IF(COUNTIFS($A$2:A53,A53,$E$2:E53,E53)=1,ROUNDUP(SUMIFS($G:$G,$A:$A,A53,$E:$E,E53)/I53,0),0)</f>
        <v>1</v>
      </c>
      <c r="L53" s="20">
        <f t="shared" si="4"/>
        <v>15.99</v>
      </c>
      <c r="M53" s="20">
        <f t="shared" si="5"/>
        <v>3.9975000000000001</v>
      </c>
      <c r="N53" s="21" t="s">
        <v>410</v>
      </c>
    </row>
    <row r="54" spans="1:14" x14ac:dyDescent="0.2">
      <c r="A54" s="16" t="s">
        <v>19</v>
      </c>
      <c r="B54" s="16" t="s">
        <v>20</v>
      </c>
      <c r="C54" s="16" t="s">
        <v>411</v>
      </c>
      <c r="D54" s="16" t="s">
        <v>298</v>
      </c>
      <c r="E54" s="17" t="s">
        <v>412</v>
      </c>
      <c r="F54" s="18" t="str">
        <f>INDEX('Woolworths Products'!$B$2:$B$208,MATCH($E54,'Woolworths Products'!$A$2:$A$208,0))</f>
        <v>High Fibre Wholewheat Brown Bread 700 g</v>
      </c>
      <c r="G54" s="19">
        <v>4</v>
      </c>
      <c r="H54" s="18" t="str">
        <f>INDEX('Woolworths Products'!$G$2:$G$208,MATCH($E54,'Woolworths Products'!$A$2:$A$208,0))</f>
        <v>slice</v>
      </c>
      <c r="I54" s="18">
        <f>INDEX('Woolworths Products'!$F$2:$F$208,MATCH($E54,'Woolworths Products'!$A$2:$A$208,0))</f>
        <v>20</v>
      </c>
      <c r="J54" s="18">
        <f>INDEX('Woolworths Products'!$E$2:$E$208,MATCH($E54,'Woolworths Products'!$A$2:$A$208,0))</f>
        <v>27.99</v>
      </c>
      <c r="K54" s="20">
        <f>IF(COUNTIFS($A$2:A54,A54,$E$2:E54,E54)=1,ROUNDUP(SUMIFS($G:$G,$A:$A,A54,$E:$E,E54)/I54,0),0)</f>
        <v>1</v>
      </c>
      <c r="L54" s="20">
        <f t="shared" si="4"/>
        <v>27.99</v>
      </c>
      <c r="M54" s="20">
        <f t="shared" si="5"/>
        <v>5.5979999999999999</v>
      </c>
      <c r="N54" s="21" t="s">
        <v>413</v>
      </c>
    </row>
    <row r="55" spans="1:14" x14ac:dyDescent="0.2">
      <c r="A55" s="13" t="s">
        <v>19</v>
      </c>
      <c r="B55" s="13" t="s">
        <v>20</v>
      </c>
      <c r="C55" s="13" t="s">
        <v>393</v>
      </c>
      <c r="D55" s="13" t="s">
        <v>349</v>
      </c>
      <c r="E55" s="13"/>
      <c r="L55" s="5">
        <v>0</v>
      </c>
      <c r="M55" s="5">
        <v>0</v>
      </c>
      <c r="N55" s="9" t="s">
        <v>393</v>
      </c>
    </row>
    <row r="56" spans="1:14" x14ac:dyDescent="0.2">
      <c r="A56" s="16" t="s">
        <v>19</v>
      </c>
      <c r="B56" s="16" t="s">
        <v>20</v>
      </c>
      <c r="C56" s="16" t="s">
        <v>414</v>
      </c>
      <c r="D56" s="16" t="s">
        <v>298</v>
      </c>
      <c r="E56" s="17" t="s">
        <v>415</v>
      </c>
      <c r="F56" s="18" t="str">
        <f>INDEX('Woolworths Products'!$B$2:$B$208,MATCH($E56,'Woolworths Products'!$A$2:$A$208,0))</f>
        <v>Chilli Crunch 120 g</v>
      </c>
      <c r="G56" s="19">
        <v>5</v>
      </c>
      <c r="H56" s="18" t="str">
        <f>INDEX('Woolworths Products'!$G$2:$G$208,MATCH($E56,'Woolworths Products'!$A$2:$A$208,0))</f>
        <v>g</v>
      </c>
      <c r="I56" s="18">
        <f>INDEX('Woolworths Products'!$F$2:$F$208,MATCH($E56,'Woolworths Products'!$A$2:$A$208,0))</f>
        <v>120</v>
      </c>
      <c r="J56" s="18">
        <f>INDEX('Woolworths Products'!$E$2:$E$208,MATCH($E56,'Woolworths Products'!$A$2:$A$208,0))</f>
        <v>81.99</v>
      </c>
      <c r="K56" s="20">
        <f>IF(COUNTIFS($A$2:A56,A56,$E$2:E56,E56)=1,ROUNDUP(SUMIFS($G:$G,$A:$A,A56,$E:$E,E56)/I56,0),0)</f>
        <v>1</v>
      </c>
      <c r="L56" s="20">
        <f>K56*J56</f>
        <v>81.99</v>
      </c>
      <c r="M56" s="20">
        <f>G56/I56*J56</f>
        <v>3.4162499999999998</v>
      </c>
      <c r="N56" s="21" t="s">
        <v>416</v>
      </c>
    </row>
    <row r="57" spans="1:14" x14ac:dyDescent="0.2">
      <c r="A57" s="12" t="s">
        <v>21</v>
      </c>
      <c r="B57" s="12" t="s">
        <v>22</v>
      </c>
      <c r="C57" s="12" t="s">
        <v>417</v>
      </c>
      <c r="D57" s="12" t="s">
        <v>298</v>
      </c>
      <c r="E57" s="13" t="s">
        <v>418</v>
      </c>
      <c r="F57" s="14" t="str">
        <f>INDEX('Woolworths Products'!$B$2:$B$208,MATCH($E57,'Woolworths Products'!$A$2:$A$208,0))</f>
        <v>Ayrshire Full Cream Plain Yoghurt 500 g</v>
      </c>
      <c r="G57" s="15">
        <v>125</v>
      </c>
      <c r="H57" s="14" t="str">
        <f>INDEX('Woolworths Products'!$G$2:$G$208,MATCH($E57,'Woolworths Products'!$A$2:$A$208,0))</f>
        <v>g</v>
      </c>
      <c r="I57" s="14">
        <f>INDEX('Woolworths Products'!$F$2:$F$208,MATCH($E57,'Woolworths Products'!$A$2:$A$208,0))</f>
        <v>500</v>
      </c>
      <c r="J57" s="14">
        <f>INDEX('Woolworths Products'!$E$2:$E$208,MATCH($E57,'Woolworths Products'!$A$2:$A$208,0))</f>
        <v>39.99</v>
      </c>
      <c r="K57" s="5">
        <f>IF(COUNTIFS($A$2:A57,A57,$E$2:E57,E57)=1,ROUNDUP(SUMIFS($G:$G,$A:$A,A57,$E:$E,E57)/I57,0),0)</f>
        <v>1</v>
      </c>
      <c r="L57" s="5">
        <f>K57*J57</f>
        <v>39.99</v>
      </c>
      <c r="M57" s="5">
        <f>G57/I57*J57</f>
        <v>9.9975000000000005</v>
      </c>
      <c r="N57" s="9"/>
    </row>
    <row r="58" spans="1:14" x14ac:dyDescent="0.2">
      <c r="A58" s="12" t="s">
        <v>21</v>
      </c>
      <c r="B58" s="12" t="s">
        <v>22</v>
      </c>
      <c r="C58" s="12" t="s">
        <v>419</v>
      </c>
      <c r="D58" s="12" t="s">
        <v>298</v>
      </c>
      <c r="E58" s="13" t="s">
        <v>323</v>
      </c>
      <c r="F58" s="14" t="str">
        <f>INDEX('Woolworths Products'!$B$2:$B$208,MATCH($E58,'Woolworths Products'!$A$2:$A$208,0))</f>
        <v>Lemons 3 pk</v>
      </c>
      <c r="G58" s="15">
        <v>1</v>
      </c>
      <c r="H58" s="14" t="str">
        <f>INDEX('Woolworths Products'!$G$2:$G$208,MATCH($E58,'Woolworths Products'!$A$2:$A$208,0))</f>
        <v>ea</v>
      </c>
      <c r="I58" s="14">
        <f>INDEX('Woolworths Products'!$F$2:$F$208,MATCH($E58,'Woolworths Products'!$A$2:$A$208,0))</f>
        <v>3</v>
      </c>
      <c r="J58" s="14">
        <f>INDEX('Woolworths Products'!$E$2:$E$208,MATCH($E58,'Woolworths Products'!$A$2:$A$208,0))</f>
        <v>27.99</v>
      </c>
      <c r="K58" s="5">
        <f>IF(COUNTIFS($A$2:A58,A58,$E$2:E58,E58)=1,ROUNDUP(SUMIFS($G:$G,$A:$A,A58,$E:$E,E58)/I58,0),0)</f>
        <v>1</v>
      </c>
      <c r="L58" s="5">
        <f>K58*J58</f>
        <v>27.99</v>
      </c>
      <c r="M58" s="5">
        <f>G58/I58*J58</f>
        <v>9.3299999999999983</v>
      </c>
      <c r="N58" s="9"/>
    </row>
    <row r="59" spans="1:14" x14ac:dyDescent="0.2">
      <c r="A59" s="12" t="s">
        <v>21</v>
      </c>
      <c r="B59" s="12" t="s">
        <v>22</v>
      </c>
      <c r="C59" s="12" t="s">
        <v>420</v>
      </c>
      <c r="D59" s="12" t="s">
        <v>298</v>
      </c>
      <c r="E59" s="13" t="s">
        <v>421</v>
      </c>
      <c r="F59" s="14" t="str">
        <f>INDEX('Woolworths Products'!$B$2:$B$208,MATCH($E59,'Woolworths Products'!$A$2:$A$208,0))</f>
        <v>Crosse and Blackwell Tangy Mayonnaise 750 g</v>
      </c>
      <c r="G59" s="15">
        <v>15</v>
      </c>
      <c r="H59" s="14" t="str">
        <f>INDEX('Woolworths Products'!$G$2:$G$208,MATCH($E59,'Woolworths Products'!$A$2:$A$208,0))</f>
        <v>g</v>
      </c>
      <c r="I59" s="14">
        <f>INDEX('Woolworths Products'!$F$2:$F$208,MATCH($E59,'Woolworths Products'!$A$2:$A$208,0))</f>
        <v>750</v>
      </c>
      <c r="J59" s="14">
        <f>INDEX('Woolworths Products'!$E$2:$E$208,MATCH($E59,'Woolworths Products'!$A$2:$A$208,0))</f>
        <v>49.99</v>
      </c>
      <c r="K59" s="5">
        <f>IF(COUNTIFS($A$2:A59,A59,$E$2:E59,E59)=1,ROUNDUP(SUMIFS($G:$G,$A:$A,A59,$E:$E,E59)/I59,0),0)</f>
        <v>1</v>
      </c>
      <c r="L59" s="5">
        <f>K59*J59</f>
        <v>49.99</v>
      </c>
      <c r="M59" s="5">
        <f>G59/I59*J59</f>
        <v>0.99980000000000002</v>
      </c>
      <c r="N59" s="9"/>
    </row>
    <row r="60" spans="1:14" x14ac:dyDescent="0.2">
      <c r="A60" s="13" t="s">
        <v>21</v>
      </c>
      <c r="B60" s="13" t="s">
        <v>22</v>
      </c>
      <c r="C60" s="13" t="s">
        <v>422</v>
      </c>
      <c r="D60" s="13" t="s">
        <v>349</v>
      </c>
      <c r="E60" s="13"/>
      <c r="L60" s="5">
        <v>0</v>
      </c>
      <c r="M60" s="5">
        <v>0</v>
      </c>
      <c r="N60" s="9" t="s">
        <v>422</v>
      </c>
    </row>
    <row r="61" spans="1:14" x14ac:dyDescent="0.2">
      <c r="A61" s="16" t="s">
        <v>21</v>
      </c>
      <c r="B61" s="16" t="s">
        <v>22</v>
      </c>
      <c r="C61" s="16" t="s">
        <v>423</v>
      </c>
      <c r="D61" s="16" t="s">
        <v>298</v>
      </c>
      <c r="E61" s="17" t="s">
        <v>424</v>
      </c>
      <c r="F61" s="18" t="str">
        <f>INDEX('Woolworths Products'!$B$2:$B$208,MATCH($E61,'Woolworths Products'!$A$2:$A$208,0))</f>
        <v>Fresh Chives 20 g</v>
      </c>
      <c r="G61" s="19">
        <v>0.5</v>
      </c>
      <c r="H61" s="18" t="str">
        <f>INDEX('Woolworths Products'!$G$2:$G$208,MATCH($E61,'Woolworths Products'!$A$2:$A$208,0))</f>
        <v>punnet</v>
      </c>
      <c r="I61" s="18">
        <f>INDEX('Woolworths Products'!$F$2:$F$208,MATCH($E61,'Woolworths Products'!$A$2:$A$208,0))</f>
        <v>1</v>
      </c>
      <c r="J61" s="18">
        <f>INDEX('Woolworths Products'!$E$2:$E$208,MATCH($E61,'Woolworths Products'!$A$2:$A$208,0))</f>
        <v>15.99</v>
      </c>
      <c r="K61" s="20">
        <f>IF(COUNTIFS($A$2:A61,A61,$E$2:E61,E61)=1,ROUNDUP(SUMIFS($G:$G,$A:$A,A61,$E:$E,E61)/I61,0),0)</f>
        <v>1</v>
      </c>
      <c r="L61" s="20">
        <f t="shared" ref="L61:L81" si="6">K61*J61</f>
        <v>15.99</v>
      </c>
      <c r="M61" s="20">
        <f t="shared" ref="M61:M81" si="7">G61/I61*J61</f>
        <v>7.9950000000000001</v>
      </c>
      <c r="N61" s="21" t="s">
        <v>425</v>
      </c>
    </row>
    <row r="62" spans="1:14" x14ac:dyDescent="0.2">
      <c r="A62" s="12" t="s">
        <v>21</v>
      </c>
      <c r="B62" s="12" t="s">
        <v>22</v>
      </c>
      <c r="C62" s="12" t="s">
        <v>426</v>
      </c>
      <c r="D62" s="12" t="s">
        <v>298</v>
      </c>
      <c r="E62" s="13" t="s">
        <v>377</v>
      </c>
      <c r="F62" s="14" t="str">
        <f>INDEX('Woolworths Products'!$B$2:$B$208,MATCH($E62,'Woolworths Products'!$A$2:$A$208,0))</f>
        <v>Fresh Peeled Garlic 50 g</v>
      </c>
      <c r="G62" s="15">
        <v>2</v>
      </c>
      <c r="H62" s="14" t="str">
        <f>INDEX('Woolworths Products'!$G$2:$G$208,MATCH($E62,'Woolworths Products'!$A$2:$A$208,0))</f>
        <v>clove</v>
      </c>
      <c r="I62" s="14">
        <f>INDEX('Woolworths Products'!$F$2:$F$208,MATCH($E62,'Woolworths Products'!$A$2:$A$208,0))</f>
        <v>10</v>
      </c>
      <c r="J62" s="14">
        <f>INDEX('Woolworths Products'!$E$2:$E$208,MATCH($E62,'Woolworths Products'!$A$2:$A$208,0))</f>
        <v>29.99</v>
      </c>
      <c r="K62" s="5">
        <f>IF(COUNTIFS($A$2:A62,A62,$E$2:E62,E62)=1,ROUNDUP(SUMIFS($G:$G,$A:$A,A62,$E:$E,E62)/I62,0),0)</f>
        <v>1</v>
      </c>
      <c r="L62" s="5">
        <f t="shared" si="6"/>
        <v>29.99</v>
      </c>
      <c r="M62" s="5">
        <f t="shared" si="7"/>
        <v>5.9980000000000002</v>
      </c>
      <c r="N62" s="9" t="s">
        <v>378</v>
      </c>
    </row>
    <row r="63" spans="1:14" x14ac:dyDescent="0.2">
      <c r="A63" s="12" t="s">
        <v>23</v>
      </c>
      <c r="B63" s="12" t="s">
        <v>11</v>
      </c>
      <c r="C63" s="12" t="s">
        <v>427</v>
      </c>
      <c r="D63" s="12" t="s">
        <v>298</v>
      </c>
      <c r="E63" s="13" t="s">
        <v>428</v>
      </c>
      <c r="F63" s="14" t="str">
        <f>INDEX('Woolworths Products'!$B$2:$B$208,MATCH($E63,'Woolworths Products'!$A$2:$A$208,0))</f>
        <v>Asian Hoisin Sauce 150 ml</v>
      </c>
      <c r="G63" s="15">
        <v>75</v>
      </c>
      <c r="H63" s="14" t="str">
        <f>INDEX('Woolworths Products'!$G$2:$G$208,MATCH($E63,'Woolworths Products'!$A$2:$A$208,0))</f>
        <v>ml</v>
      </c>
      <c r="I63" s="14">
        <f>INDEX('Woolworths Products'!$F$2:$F$208,MATCH($E63,'Woolworths Products'!$A$2:$A$208,0))</f>
        <v>150</v>
      </c>
      <c r="J63" s="14">
        <f>INDEX('Woolworths Products'!$E$2:$E$208,MATCH($E63,'Woolworths Products'!$A$2:$A$208,0))</f>
        <v>51.99</v>
      </c>
      <c r="K63" s="5">
        <f>IF(COUNTIFS($A$2:A63,A63,$E$2:E63,E63)=1,ROUNDUP(SUMIFS($G:$G,$A:$A,A63,$E:$E,E63)/I63,0),0)</f>
        <v>1</v>
      </c>
      <c r="L63" s="5">
        <f t="shared" si="6"/>
        <v>51.99</v>
      </c>
      <c r="M63" s="5">
        <f t="shared" si="7"/>
        <v>25.995000000000001</v>
      </c>
      <c r="N63" s="9" t="s">
        <v>429</v>
      </c>
    </row>
    <row r="64" spans="1:14" x14ac:dyDescent="0.2">
      <c r="A64" s="12" t="s">
        <v>23</v>
      </c>
      <c r="B64" s="12" t="s">
        <v>11</v>
      </c>
      <c r="C64" s="12" t="s">
        <v>430</v>
      </c>
      <c r="D64" s="12" t="s">
        <v>298</v>
      </c>
      <c r="E64" s="13" t="s">
        <v>431</v>
      </c>
      <c r="F64" s="14" t="str">
        <f>INDEX('Woolworths Products'!$B$2:$B$208,MATCH($E64,'Woolworths Products'!$A$2:$A$208,0))</f>
        <v>Pork Fillet Avg 400 g</v>
      </c>
      <c r="G64" s="15">
        <v>1</v>
      </c>
      <c r="H64" s="14" t="str">
        <f>INDEX('Woolworths Products'!$G$2:$G$208,MATCH($E64,'Woolworths Products'!$A$2:$A$208,0))</f>
        <v>ea</v>
      </c>
      <c r="I64" s="14">
        <f>INDEX('Woolworths Products'!$F$2:$F$208,MATCH($E64,'Woolworths Products'!$A$2:$A$208,0))</f>
        <v>1</v>
      </c>
      <c r="J64" s="14">
        <f>INDEX('Woolworths Products'!$E$2:$E$208,MATCH($E64,'Woolworths Products'!$A$2:$A$208,0))</f>
        <v>65</v>
      </c>
      <c r="K64" s="5">
        <f>IF(COUNTIFS($A$2:A64,A64,$E$2:E64,E64)=1,ROUNDUP(SUMIFS($G:$G,$A:$A,A64,$E:$E,E64)/I64,0),0)</f>
        <v>1</v>
      </c>
      <c r="L64" s="5">
        <f t="shared" si="6"/>
        <v>65</v>
      </c>
      <c r="M64" s="5">
        <f t="shared" si="7"/>
        <v>65</v>
      </c>
      <c r="N64" s="9" t="s">
        <v>432</v>
      </c>
    </row>
    <row r="65" spans="1:14" x14ac:dyDescent="0.2">
      <c r="A65" s="12" t="s">
        <v>23</v>
      </c>
      <c r="B65" s="12" t="s">
        <v>11</v>
      </c>
      <c r="C65" s="12" t="s">
        <v>433</v>
      </c>
      <c r="D65" s="12" t="s">
        <v>298</v>
      </c>
      <c r="E65" s="13" t="s">
        <v>434</v>
      </c>
      <c r="F65" s="14" t="str">
        <f>INDEX('Woolworths Products'!$B$2:$B$208,MATCH($E65,'Woolworths Products'!$A$2:$A$208,0))</f>
        <v>Asian Medium Wholewheat Noodles 340 g</v>
      </c>
      <c r="G65" s="15">
        <v>3</v>
      </c>
      <c r="H65" s="14" t="str">
        <f>INDEX('Woolworths Products'!$G$2:$G$208,MATCH($E65,'Woolworths Products'!$A$2:$A$208,0))</f>
        <v>nest</v>
      </c>
      <c r="I65" s="14">
        <f>INDEX('Woolworths Products'!$F$2:$F$208,MATCH($E65,'Woolworths Products'!$A$2:$A$208,0))</f>
        <v>6</v>
      </c>
      <c r="J65" s="14">
        <f>INDEX('Woolworths Products'!$E$2:$E$208,MATCH($E65,'Woolworths Products'!$A$2:$A$208,0))</f>
        <v>59.99</v>
      </c>
      <c r="K65" s="5">
        <f>IF(COUNTIFS($A$2:A65,A65,$E$2:E65,E65)=1,ROUNDUP(SUMIFS($G:$G,$A:$A,A65,$E:$E,E65)/I65,0),0)</f>
        <v>1</v>
      </c>
      <c r="L65" s="5">
        <f t="shared" si="6"/>
        <v>59.99</v>
      </c>
      <c r="M65" s="5">
        <f t="shared" si="7"/>
        <v>29.995000000000001</v>
      </c>
      <c r="N65" s="9" t="s">
        <v>435</v>
      </c>
    </row>
    <row r="66" spans="1:14" x14ac:dyDescent="0.2">
      <c r="A66" s="12" t="s">
        <v>23</v>
      </c>
      <c r="B66" s="12" t="s">
        <v>11</v>
      </c>
      <c r="C66" s="12" t="s">
        <v>436</v>
      </c>
      <c r="D66" s="12" t="s">
        <v>298</v>
      </c>
      <c r="E66" s="13" t="s">
        <v>437</v>
      </c>
      <c r="F66" s="14" t="str">
        <f>INDEX('Woolworths Products'!$B$2:$B$208,MATCH($E66,'Woolworths Products'!$A$2:$A$208,0))</f>
        <v>Organic Sesame Oil 250 ml</v>
      </c>
      <c r="G66" s="15">
        <v>15</v>
      </c>
      <c r="H66" s="14" t="str">
        <f>INDEX('Woolworths Products'!$G$2:$G$208,MATCH($E66,'Woolworths Products'!$A$2:$A$208,0))</f>
        <v>ml</v>
      </c>
      <c r="I66" s="14">
        <f>INDEX('Woolworths Products'!$F$2:$F$208,MATCH($E66,'Woolworths Products'!$A$2:$A$208,0))</f>
        <v>250</v>
      </c>
      <c r="J66" s="14">
        <f>INDEX('Woolworths Products'!$E$2:$E$208,MATCH($E66,'Woolworths Products'!$A$2:$A$208,0))</f>
        <v>130</v>
      </c>
      <c r="K66" s="5">
        <f>IF(COUNTIFS($A$2:A66,A66,$E$2:E66,E66)=1,ROUNDUP(SUMIFS($G:$G,$A:$A,A66,$E:$E,E66)/I66,0),0)</f>
        <v>1</v>
      </c>
      <c r="L66" s="5">
        <f t="shared" si="6"/>
        <v>130</v>
      </c>
      <c r="M66" s="5">
        <f t="shared" si="7"/>
        <v>7.8</v>
      </c>
      <c r="N66" s="9"/>
    </row>
    <row r="67" spans="1:14" x14ac:dyDescent="0.2">
      <c r="A67" s="12" t="s">
        <v>23</v>
      </c>
      <c r="B67" s="12" t="s">
        <v>11</v>
      </c>
      <c r="C67" s="12" t="s">
        <v>438</v>
      </c>
      <c r="D67" s="12" t="s">
        <v>298</v>
      </c>
      <c r="E67" s="13" t="s">
        <v>439</v>
      </c>
      <c r="F67" s="14" t="str">
        <f>INDEX('Woolworths Products'!$B$2:$B$208,MATCH($E67,'Woolworths Products'!$A$2:$A$208,0))</f>
        <v>Fresh Crushed Ginger 50 g</v>
      </c>
      <c r="G67" s="15">
        <v>15</v>
      </c>
      <c r="H67" s="14" t="str">
        <f>INDEX('Woolworths Products'!$G$2:$G$208,MATCH($E67,'Woolworths Products'!$A$2:$A$208,0))</f>
        <v>g</v>
      </c>
      <c r="I67" s="14">
        <f>INDEX('Woolworths Products'!$F$2:$F$208,MATCH($E67,'Woolworths Products'!$A$2:$A$208,0))</f>
        <v>50</v>
      </c>
      <c r="J67" s="14">
        <f>INDEX('Woolworths Products'!$E$2:$E$208,MATCH($E67,'Woolworths Products'!$A$2:$A$208,0))</f>
        <v>32.99</v>
      </c>
      <c r="K67" s="5">
        <f>IF(COUNTIFS($A$2:A67,A67,$E$2:E67,E67)=1,ROUNDUP(SUMIFS($G:$G,$A:$A,A67,$E:$E,E67)/I67,0),0)</f>
        <v>1</v>
      </c>
      <c r="L67" s="5">
        <f t="shared" si="6"/>
        <v>32.99</v>
      </c>
      <c r="M67" s="5">
        <f t="shared" si="7"/>
        <v>9.8970000000000002</v>
      </c>
      <c r="N67" s="9"/>
    </row>
    <row r="68" spans="1:14" x14ac:dyDescent="0.2">
      <c r="A68" s="12" t="s">
        <v>23</v>
      </c>
      <c r="B68" s="12" t="s">
        <v>11</v>
      </c>
      <c r="C68" s="12" t="s">
        <v>426</v>
      </c>
      <c r="D68" s="12" t="s">
        <v>298</v>
      </c>
      <c r="E68" s="13" t="s">
        <v>377</v>
      </c>
      <c r="F68" s="14" t="str">
        <f>INDEX('Woolworths Products'!$B$2:$B$208,MATCH($E68,'Woolworths Products'!$A$2:$A$208,0))</f>
        <v>Fresh Peeled Garlic 50 g</v>
      </c>
      <c r="G68" s="15">
        <v>2</v>
      </c>
      <c r="H68" s="14" t="str">
        <f>INDEX('Woolworths Products'!$G$2:$G$208,MATCH($E68,'Woolworths Products'!$A$2:$A$208,0))</f>
        <v>clove</v>
      </c>
      <c r="I68" s="14">
        <f>INDEX('Woolworths Products'!$F$2:$F$208,MATCH($E68,'Woolworths Products'!$A$2:$A$208,0))</f>
        <v>10</v>
      </c>
      <c r="J68" s="14">
        <f>INDEX('Woolworths Products'!$E$2:$E$208,MATCH($E68,'Woolworths Products'!$A$2:$A$208,0))</f>
        <v>29.99</v>
      </c>
      <c r="K68" s="5">
        <f>IF(COUNTIFS($A$2:A68,A68,$E$2:E68,E68)=1,ROUNDUP(SUMIFS($G:$G,$A:$A,A68,$E:$E,E68)/I68,0),0)</f>
        <v>1</v>
      </c>
      <c r="L68" s="5">
        <f t="shared" si="6"/>
        <v>29.99</v>
      </c>
      <c r="M68" s="5">
        <f t="shared" si="7"/>
        <v>5.9980000000000002</v>
      </c>
      <c r="N68" s="9" t="s">
        <v>378</v>
      </c>
    </row>
    <row r="69" spans="1:14" x14ac:dyDescent="0.2">
      <c r="A69" s="12" t="s">
        <v>23</v>
      </c>
      <c r="B69" s="12" t="s">
        <v>11</v>
      </c>
      <c r="C69" s="12" t="s">
        <v>440</v>
      </c>
      <c r="D69" s="12" t="s">
        <v>298</v>
      </c>
      <c r="E69" s="13" t="s">
        <v>441</v>
      </c>
      <c r="F69" s="14" t="str">
        <f>INDEX('Woolworths Products'!$B$2:$B$208,MATCH($E69,'Woolworths Products'!$A$2:$A$208,0))</f>
        <v>Baby Spinach 200 g</v>
      </c>
      <c r="G69" s="15">
        <v>200</v>
      </c>
      <c r="H69" s="14" t="str">
        <f>INDEX('Woolworths Products'!$G$2:$G$208,MATCH($E69,'Woolworths Products'!$A$2:$A$208,0))</f>
        <v>g</v>
      </c>
      <c r="I69" s="14">
        <f>INDEX('Woolworths Products'!$F$2:$F$208,MATCH($E69,'Woolworths Products'!$A$2:$A$208,0))</f>
        <v>200</v>
      </c>
      <c r="J69" s="14">
        <f>INDEX('Woolworths Products'!$E$2:$E$208,MATCH($E69,'Woolworths Products'!$A$2:$A$208,0))</f>
        <v>35.99</v>
      </c>
      <c r="K69" s="5">
        <f>IF(COUNTIFS($A$2:A69,A69,$E$2:E69,E69)=1,ROUNDUP(SUMIFS($G:$G,$A:$A,A69,$E:$E,E69)/I69,0),0)</f>
        <v>1</v>
      </c>
      <c r="L69" s="5">
        <f t="shared" si="6"/>
        <v>35.99</v>
      </c>
      <c r="M69" s="5">
        <f t="shared" si="7"/>
        <v>35.99</v>
      </c>
      <c r="N69" s="9"/>
    </row>
    <row r="70" spans="1:14" x14ac:dyDescent="0.2">
      <c r="A70" s="12" t="s">
        <v>23</v>
      </c>
      <c r="B70" s="12" t="s">
        <v>11</v>
      </c>
      <c r="C70" s="12" t="s">
        <v>442</v>
      </c>
      <c r="D70" s="12" t="s">
        <v>298</v>
      </c>
      <c r="E70" s="13" t="s">
        <v>443</v>
      </c>
      <c r="F70" s="14" t="str">
        <f>INDEX('Woolworths Products'!$B$2:$B$208,MATCH($E70,'Woolworths Products'!$A$2:$A$208,0))</f>
        <v>Spring Onions 100 g</v>
      </c>
      <c r="G70" s="15">
        <v>1</v>
      </c>
      <c r="H70" s="14" t="str">
        <f>INDEX('Woolworths Products'!$G$2:$G$208,MATCH($E70,'Woolworths Products'!$A$2:$A$208,0))</f>
        <v>bunch</v>
      </c>
      <c r="I70" s="14">
        <f>INDEX('Woolworths Products'!$F$2:$F$208,MATCH($E70,'Woolworths Products'!$A$2:$A$208,0))</f>
        <v>1</v>
      </c>
      <c r="J70" s="14">
        <f>INDEX('Woolworths Products'!$E$2:$E$208,MATCH($E70,'Woolworths Products'!$A$2:$A$208,0))</f>
        <v>24.99</v>
      </c>
      <c r="K70" s="5">
        <f>IF(COUNTIFS($A$2:A70,A70,$E$2:E70,E70)=1,ROUNDUP(SUMIFS($G:$G,$A:$A,A70,$E:$E,E70)/I70,0),0)</f>
        <v>1</v>
      </c>
      <c r="L70" s="5">
        <f t="shared" si="6"/>
        <v>24.99</v>
      </c>
      <c r="M70" s="5">
        <f t="shared" si="7"/>
        <v>24.99</v>
      </c>
      <c r="N70" s="9"/>
    </row>
    <row r="71" spans="1:14" x14ac:dyDescent="0.2">
      <c r="A71" s="12" t="s">
        <v>23</v>
      </c>
      <c r="B71" s="12" t="s">
        <v>11</v>
      </c>
      <c r="C71" s="12" t="s">
        <v>444</v>
      </c>
      <c r="D71" s="12" t="s">
        <v>298</v>
      </c>
      <c r="E71" s="13" t="s">
        <v>445</v>
      </c>
      <c r="F71" s="14" t="str">
        <f>INDEX('Woolworths Products'!$B$2:$B$208,MATCH($E71,'Woolworths Products'!$A$2:$A$208,0))</f>
        <v>Shelled Edamame Legumes 110 g</v>
      </c>
      <c r="G71" s="15">
        <v>110</v>
      </c>
      <c r="H71" s="14" t="str">
        <f>INDEX('Woolworths Products'!$G$2:$G$208,MATCH($E71,'Woolworths Products'!$A$2:$A$208,0))</f>
        <v>g</v>
      </c>
      <c r="I71" s="14">
        <f>INDEX('Woolworths Products'!$F$2:$F$208,MATCH($E71,'Woolworths Products'!$A$2:$A$208,0))</f>
        <v>110</v>
      </c>
      <c r="J71" s="14">
        <f>INDEX('Woolworths Products'!$E$2:$E$208,MATCH($E71,'Woolworths Products'!$A$2:$A$208,0))</f>
        <v>54.99</v>
      </c>
      <c r="K71" s="5">
        <f>IF(COUNTIFS($A$2:A71,A71,$E$2:E71,E71)=1,ROUNDUP(SUMIFS($G:$G,$A:$A,A71,$E:$E,E71)/I71,0),0)</f>
        <v>1</v>
      </c>
      <c r="L71" s="5">
        <f t="shared" si="6"/>
        <v>54.99</v>
      </c>
      <c r="M71" s="5">
        <f t="shared" si="7"/>
        <v>54.99</v>
      </c>
      <c r="N71" s="9"/>
    </row>
    <row r="72" spans="1:14" x14ac:dyDescent="0.2">
      <c r="A72" s="12" t="s">
        <v>23</v>
      </c>
      <c r="B72" s="12" t="s">
        <v>11</v>
      </c>
      <c r="C72" s="12" t="s">
        <v>446</v>
      </c>
      <c r="D72" s="12" t="s">
        <v>298</v>
      </c>
      <c r="E72" s="13" t="s">
        <v>347</v>
      </c>
      <c r="F72" s="14" t="str">
        <f>INDEX('Woolworths Products'!$B$2:$B$208,MATCH($E72,'Woolworths Products'!$A$2:$A$208,0))</f>
        <v>White Sesame Seeds 250 g</v>
      </c>
      <c r="G72" s="15">
        <v>12</v>
      </c>
      <c r="H72" s="14" t="str">
        <f>INDEX('Woolworths Products'!$G$2:$G$208,MATCH($E72,'Woolworths Products'!$A$2:$A$208,0))</f>
        <v>g</v>
      </c>
      <c r="I72" s="14">
        <f>INDEX('Woolworths Products'!$F$2:$F$208,MATCH($E72,'Woolworths Products'!$A$2:$A$208,0))</f>
        <v>250</v>
      </c>
      <c r="J72" s="14">
        <f>INDEX('Woolworths Products'!$E$2:$E$208,MATCH($E72,'Woolworths Products'!$A$2:$A$208,0))</f>
        <v>64.989999999999995</v>
      </c>
      <c r="K72" s="5">
        <f>IF(COUNTIFS($A$2:A72,A72,$E$2:E72,E72)=1,ROUNDUP(SUMIFS($G:$G,$A:$A,A72,$E:$E,E72)/I72,0),0)</f>
        <v>1</v>
      </c>
      <c r="L72" s="5">
        <f t="shared" si="6"/>
        <v>64.989999999999995</v>
      </c>
      <c r="M72" s="5">
        <f t="shared" si="7"/>
        <v>3.1195199999999996</v>
      </c>
      <c r="N72" s="9"/>
    </row>
    <row r="73" spans="1:14" x14ac:dyDescent="0.2">
      <c r="A73" s="12" t="s">
        <v>23</v>
      </c>
      <c r="B73" s="12" t="s">
        <v>11</v>
      </c>
      <c r="C73" s="12" t="s">
        <v>447</v>
      </c>
      <c r="D73" s="12" t="s">
        <v>298</v>
      </c>
      <c r="E73" s="13" t="s">
        <v>448</v>
      </c>
      <c r="F73" s="14" t="str">
        <f>INDEX('Woolworths Products'!$B$2:$B$208,MATCH($E73,'Woolworths Products'!$A$2:$A$208,0))</f>
        <v>Ripen at Home Loose Avocado</v>
      </c>
      <c r="G73" s="15">
        <v>1</v>
      </c>
      <c r="H73" s="14" t="str">
        <f>INDEX('Woolworths Products'!$G$2:$G$208,MATCH($E73,'Woolworths Products'!$A$2:$A$208,0))</f>
        <v>ea</v>
      </c>
      <c r="I73" s="14">
        <f>INDEX('Woolworths Products'!$F$2:$F$208,MATCH($E73,'Woolworths Products'!$A$2:$A$208,0))</f>
        <v>1</v>
      </c>
      <c r="J73" s="14">
        <f>INDEX('Woolworths Products'!$E$2:$E$208,MATCH($E73,'Woolworths Products'!$A$2:$A$208,0))</f>
        <v>19.989999999999998</v>
      </c>
      <c r="K73" s="5">
        <f>IF(COUNTIFS($A$2:A73,A73,$E$2:E73,E73)=1,ROUNDUP(SUMIFS($G:$G,$A:$A,A73,$E:$E,E73)/I73,0),0)</f>
        <v>1</v>
      </c>
      <c r="L73" s="5">
        <f t="shared" si="6"/>
        <v>19.989999999999998</v>
      </c>
      <c r="M73" s="5">
        <f t="shared" si="7"/>
        <v>19.989999999999998</v>
      </c>
      <c r="N73" s="9"/>
    </row>
    <row r="74" spans="1:14" x14ac:dyDescent="0.2">
      <c r="A74" s="16" t="s">
        <v>23</v>
      </c>
      <c r="B74" s="16" t="s">
        <v>11</v>
      </c>
      <c r="C74" s="16" t="s">
        <v>449</v>
      </c>
      <c r="D74" s="16" t="s">
        <v>298</v>
      </c>
      <c r="E74" s="17" t="s">
        <v>323</v>
      </c>
      <c r="F74" s="18" t="str">
        <f>INDEX('Woolworths Products'!$B$2:$B$208,MATCH($E74,'Woolworths Products'!$A$2:$A$208,0))</f>
        <v>Lemons 3 pk</v>
      </c>
      <c r="G74" s="19">
        <v>0.25</v>
      </c>
      <c r="H74" s="18" t="str">
        <f>INDEX('Woolworths Products'!$G$2:$G$208,MATCH($E74,'Woolworths Products'!$A$2:$A$208,0))</f>
        <v>ea</v>
      </c>
      <c r="I74" s="18">
        <f>INDEX('Woolworths Products'!$F$2:$F$208,MATCH($E74,'Woolworths Products'!$A$2:$A$208,0))</f>
        <v>3</v>
      </c>
      <c r="J74" s="18">
        <f>INDEX('Woolworths Products'!$E$2:$E$208,MATCH($E74,'Woolworths Products'!$A$2:$A$208,0))</f>
        <v>27.99</v>
      </c>
      <c r="K74" s="20">
        <f>IF(COUNTIFS($A$2:A74,A74,$E$2:E74,E74)=1,ROUNDUP(SUMIFS($G:$G,$A:$A,A74,$E:$E,E74)/I74,0),0)</f>
        <v>1</v>
      </c>
      <c r="L74" s="20">
        <f t="shared" si="6"/>
        <v>27.99</v>
      </c>
      <c r="M74" s="20">
        <f t="shared" si="7"/>
        <v>2.3324999999999996</v>
      </c>
      <c r="N74" s="21" t="s">
        <v>450</v>
      </c>
    </row>
    <row r="75" spans="1:14" x14ac:dyDescent="0.2">
      <c r="A75" s="12" t="s">
        <v>23</v>
      </c>
      <c r="B75" s="12" t="s">
        <v>11</v>
      </c>
      <c r="C75" s="12" t="s">
        <v>451</v>
      </c>
      <c r="D75" s="12" t="s">
        <v>298</v>
      </c>
      <c r="E75" s="13" t="s">
        <v>452</v>
      </c>
      <c r="F75" s="14" t="str">
        <f>INDEX('Woolworths Products'!$B$2:$B$208,MATCH($E75,'Woolworths Products'!$A$2:$A$208,0))</f>
        <v>Kikkoman Less Salt Soy Sauce 150 ml</v>
      </c>
      <c r="G75" s="15">
        <v>10</v>
      </c>
      <c r="H75" s="14" t="str">
        <f>INDEX('Woolworths Products'!$G$2:$G$208,MATCH($E75,'Woolworths Products'!$A$2:$A$208,0))</f>
        <v>ml</v>
      </c>
      <c r="I75" s="14">
        <f>INDEX('Woolworths Products'!$F$2:$F$208,MATCH($E75,'Woolworths Products'!$A$2:$A$208,0))</f>
        <v>150</v>
      </c>
      <c r="J75" s="14">
        <f>INDEX('Woolworths Products'!$E$2:$E$208,MATCH($E75,'Woolworths Products'!$A$2:$A$208,0))</f>
        <v>114.99</v>
      </c>
      <c r="K75" s="5">
        <f>IF(COUNTIFS($A$2:A75,A75,$E$2:E75,E75)=1,ROUNDUP(SUMIFS($G:$G,$A:$A,A75,$E:$E,E75)/I75,0),0)</f>
        <v>1</v>
      </c>
      <c r="L75" s="5">
        <f t="shared" si="6"/>
        <v>114.99</v>
      </c>
      <c r="M75" s="5">
        <f t="shared" si="7"/>
        <v>7.6659999999999995</v>
      </c>
      <c r="N75" s="9"/>
    </row>
    <row r="76" spans="1:14" x14ac:dyDescent="0.2">
      <c r="A76" s="12" t="s">
        <v>23</v>
      </c>
      <c r="B76" s="12" t="s">
        <v>11</v>
      </c>
      <c r="C76" s="12" t="s">
        <v>453</v>
      </c>
      <c r="D76" s="12" t="s">
        <v>298</v>
      </c>
      <c r="E76" s="13" t="s">
        <v>454</v>
      </c>
      <c r="F76" s="14" t="str">
        <f>INDEX('Woolworths Products'!$B$2:$B$208,MATCH($E76,'Woolworths Products'!$A$2:$A$208,0))</f>
        <v>Asian Rice Vinegar 200 ml</v>
      </c>
      <c r="G76" s="15">
        <v>15</v>
      </c>
      <c r="H76" s="14" t="str">
        <f>INDEX('Woolworths Products'!$G$2:$G$208,MATCH($E76,'Woolworths Products'!$A$2:$A$208,0))</f>
        <v>ml</v>
      </c>
      <c r="I76" s="14">
        <f>INDEX('Woolworths Products'!$F$2:$F$208,MATCH($E76,'Woolworths Products'!$A$2:$A$208,0))</f>
        <v>200</v>
      </c>
      <c r="J76" s="14">
        <f>INDEX('Woolworths Products'!$E$2:$E$208,MATCH($E76,'Woolworths Products'!$A$2:$A$208,0))</f>
        <v>82.99</v>
      </c>
      <c r="K76" s="5">
        <f>IF(COUNTIFS($A$2:A76,A76,$E$2:E76,E76)=1,ROUNDUP(SUMIFS($G:$G,$A:$A,A76,$E:$E,E76)/I76,0),0)</f>
        <v>1</v>
      </c>
      <c r="L76" s="5">
        <f t="shared" si="6"/>
        <v>82.99</v>
      </c>
      <c r="M76" s="5">
        <f t="shared" si="7"/>
        <v>6.2242499999999996</v>
      </c>
      <c r="N76" s="9"/>
    </row>
    <row r="77" spans="1:14" x14ac:dyDescent="0.2">
      <c r="A77" s="12" t="s">
        <v>24</v>
      </c>
      <c r="B77" s="12" t="s">
        <v>20</v>
      </c>
      <c r="C77" s="12" t="s">
        <v>455</v>
      </c>
      <c r="D77" s="12" t="s">
        <v>298</v>
      </c>
      <c r="E77" s="13" t="s">
        <v>456</v>
      </c>
      <c r="F77" s="14" t="str">
        <f>INDEX('Woolworths Products'!$B$2:$B$208,MATCH($E77,'Woolworths Products'!$A$2:$A$208,0))</f>
        <v>Chickpeas in Brine 400 g</v>
      </c>
      <c r="G77" s="15">
        <v>1</v>
      </c>
      <c r="H77" s="14" t="str">
        <f>INDEX('Woolworths Products'!$G$2:$G$208,MATCH($E77,'Woolworths Products'!$A$2:$A$208,0))</f>
        <v>ea</v>
      </c>
      <c r="I77" s="14">
        <f>INDEX('Woolworths Products'!$F$2:$F$208,MATCH($E77,'Woolworths Products'!$A$2:$A$208,0))</f>
        <v>1</v>
      </c>
      <c r="J77" s="14">
        <f>INDEX('Woolworths Products'!$E$2:$E$208,MATCH($E77,'Woolworths Products'!$A$2:$A$208,0))</f>
        <v>28.99</v>
      </c>
      <c r="K77" s="5">
        <f>IF(COUNTIFS($A$2:A77,A77,$E$2:E77,E77)=1,ROUNDUP(SUMIFS($G:$G,$A:$A,A77,$E:$E,E77)/I77,0),0)</f>
        <v>1</v>
      </c>
      <c r="L77" s="5">
        <f t="shared" si="6"/>
        <v>28.99</v>
      </c>
      <c r="M77" s="5">
        <f t="shared" si="7"/>
        <v>28.99</v>
      </c>
      <c r="N77" s="9"/>
    </row>
    <row r="78" spans="1:14" x14ac:dyDescent="0.2">
      <c r="A78" s="16" t="s">
        <v>24</v>
      </c>
      <c r="B78" s="16" t="s">
        <v>20</v>
      </c>
      <c r="C78" s="16" t="s">
        <v>457</v>
      </c>
      <c r="D78" s="16" t="s">
        <v>298</v>
      </c>
      <c r="E78" s="17" t="s">
        <v>458</v>
      </c>
      <c r="F78" s="18" t="str">
        <f>INDEX('Woolworths Products'!$B$2:$B$208,MATCH($E78,'Woolworths Products'!$A$2:$A$208,0))</f>
        <v>Willow Creek Lemon Flavoured Olive Oil 250 ml</v>
      </c>
      <c r="G78" s="19">
        <v>15</v>
      </c>
      <c r="H78" s="18" t="str">
        <f>INDEX('Woolworths Products'!$G$2:$G$208,MATCH($E78,'Woolworths Products'!$A$2:$A$208,0))</f>
        <v>ml</v>
      </c>
      <c r="I78" s="18">
        <f>INDEX('Woolworths Products'!$F$2:$F$208,MATCH($E78,'Woolworths Products'!$A$2:$A$208,0))</f>
        <v>250</v>
      </c>
      <c r="J78" s="18">
        <f>INDEX('Woolworths Products'!$E$2:$E$208,MATCH($E78,'Woolworths Products'!$A$2:$A$208,0))</f>
        <v>99.99</v>
      </c>
      <c r="K78" s="20">
        <f>IF(COUNTIFS($A$2:A78,A78,$E$2:E78,E78)=1,ROUNDUP(SUMIFS($G:$G,$A:$A,A78,$E:$E,E78)/I78,0),0)</f>
        <v>1</v>
      </c>
      <c r="L78" s="20">
        <f t="shared" si="6"/>
        <v>99.99</v>
      </c>
      <c r="M78" s="20">
        <f t="shared" si="7"/>
        <v>5.9993999999999996</v>
      </c>
      <c r="N78" s="21" t="s">
        <v>326</v>
      </c>
    </row>
    <row r="79" spans="1:14" x14ac:dyDescent="0.2">
      <c r="A79" s="16" t="s">
        <v>24</v>
      </c>
      <c r="B79" s="16" t="s">
        <v>20</v>
      </c>
      <c r="C79" s="16" t="s">
        <v>459</v>
      </c>
      <c r="D79" s="16" t="s">
        <v>298</v>
      </c>
      <c r="E79" s="17" t="s">
        <v>323</v>
      </c>
      <c r="F79" s="18" t="str">
        <f>INDEX('Woolworths Products'!$B$2:$B$208,MATCH($E79,'Woolworths Products'!$A$2:$A$208,0))</f>
        <v>Lemons 3 pk</v>
      </c>
      <c r="G79" s="19">
        <v>0.5</v>
      </c>
      <c r="H79" s="18" t="str">
        <f>INDEX('Woolworths Products'!$G$2:$G$208,MATCH($E79,'Woolworths Products'!$A$2:$A$208,0))</f>
        <v>ea</v>
      </c>
      <c r="I79" s="18">
        <f>INDEX('Woolworths Products'!$F$2:$F$208,MATCH($E79,'Woolworths Products'!$A$2:$A$208,0))</f>
        <v>3</v>
      </c>
      <c r="J79" s="18">
        <f>INDEX('Woolworths Products'!$E$2:$E$208,MATCH($E79,'Woolworths Products'!$A$2:$A$208,0))</f>
        <v>27.99</v>
      </c>
      <c r="K79" s="20">
        <f>IF(COUNTIFS($A$2:A79,A79,$E$2:E79,E79)=1,ROUNDUP(SUMIFS($G:$G,$A:$A,A79,$E:$E,E79)/I79,0),0)</f>
        <v>1</v>
      </c>
      <c r="L79" s="20">
        <f t="shared" si="6"/>
        <v>27.99</v>
      </c>
      <c r="M79" s="20">
        <f t="shared" si="7"/>
        <v>4.6649999999999991</v>
      </c>
      <c r="N79" s="21" t="s">
        <v>407</v>
      </c>
    </row>
    <row r="80" spans="1:14" x14ac:dyDescent="0.2">
      <c r="A80" s="16" t="s">
        <v>24</v>
      </c>
      <c r="B80" s="16" t="s">
        <v>20</v>
      </c>
      <c r="C80" s="16" t="s">
        <v>460</v>
      </c>
      <c r="D80" s="16" t="s">
        <v>298</v>
      </c>
      <c r="E80" s="17" t="s">
        <v>461</v>
      </c>
      <c r="F80" s="18" t="str">
        <f>INDEX('Woolworths Products'!$B$2:$B$208,MATCH($E80,'Woolworths Products'!$A$2:$A$208,0))</f>
        <v>Fresh Rosemary 20 g</v>
      </c>
      <c r="G80" s="19">
        <v>0.25</v>
      </c>
      <c r="H80" s="18" t="str">
        <f>INDEX('Woolworths Products'!$G$2:$G$208,MATCH($E80,'Woolworths Products'!$A$2:$A$208,0))</f>
        <v>punnet</v>
      </c>
      <c r="I80" s="18">
        <f>INDEX('Woolworths Products'!$F$2:$F$208,MATCH($E80,'Woolworths Products'!$A$2:$A$208,0))</f>
        <v>1</v>
      </c>
      <c r="J80" s="18">
        <f>INDEX('Woolworths Products'!$E$2:$E$208,MATCH($E80,'Woolworths Products'!$A$2:$A$208,0))</f>
        <v>15.99</v>
      </c>
      <c r="K80" s="20">
        <f>IF(COUNTIFS($A$2:A80,A80,$E$2:E80,E80)=1,ROUNDUP(SUMIFS($G:$G,$A:$A,A80,$E:$E,E80)/I80,0),0)</f>
        <v>1</v>
      </c>
      <c r="L80" s="20">
        <f t="shared" si="6"/>
        <v>15.99</v>
      </c>
      <c r="M80" s="20">
        <f t="shared" si="7"/>
        <v>3.9975000000000001</v>
      </c>
      <c r="N80" s="21" t="s">
        <v>462</v>
      </c>
    </row>
    <row r="81" spans="1:14" x14ac:dyDescent="0.2">
      <c r="A81" s="16" t="s">
        <v>24</v>
      </c>
      <c r="B81" s="16" t="s">
        <v>20</v>
      </c>
      <c r="C81" s="16" t="s">
        <v>463</v>
      </c>
      <c r="D81" s="16" t="s">
        <v>298</v>
      </c>
      <c r="E81" s="17" t="s">
        <v>377</v>
      </c>
      <c r="F81" s="18" t="str">
        <f>INDEX('Woolworths Products'!$B$2:$B$208,MATCH($E81,'Woolworths Products'!$A$2:$A$208,0))</f>
        <v>Fresh Peeled Garlic 50 g</v>
      </c>
      <c r="G81" s="19">
        <v>2</v>
      </c>
      <c r="H81" s="18" t="str">
        <f>INDEX('Woolworths Products'!$G$2:$G$208,MATCH($E81,'Woolworths Products'!$A$2:$A$208,0))</f>
        <v>clove</v>
      </c>
      <c r="I81" s="18">
        <f>INDEX('Woolworths Products'!$F$2:$F$208,MATCH($E81,'Woolworths Products'!$A$2:$A$208,0))</f>
        <v>10</v>
      </c>
      <c r="J81" s="18">
        <f>INDEX('Woolworths Products'!$E$2:$E$208,MATCH($E81,'Woolworths Products'!$A$2:$A$208,0))</f>
        <v>29.99</v>
      </c>
      <c r="K81" s="20">
        <f>IF(COUNTIFS($A$2:A81,A81,$E$2:E81,E81)=1,ROUNDUP(SUMIFS($G:$G,$A:$A,A81,$E:$E,E81)/I81,0),0)</f>
        <v>1</v>
      </c>
      <c r="L81" s="20">
        <f t="shared" si="6"/>
        <v>29.99</v>
      </c>
      <c r="M81" s="20">
        <f t="shared" si="7"/>
        <v>5.9980000000000002</v>
      </c>
      <c r="N81" s="21" t="s">
        <v>464</v>
      </c>
    </row>
    <row r="82" spans="1:14" x14ac:dyDescent="0.2">
      <c r="A82" s="13" t="s">
        <v>24</v>
      </c>
      <c r="B82" s="13" t="s">
        <v>20</v>
      </c>
      <c r="C82" s="13" t="s">
        <v>348</v>
      </c>
      <c r="D82" s="13" t="s">
        <v>349</v>
      </c>
      <c r="E82" s="13"/>
      <c r="L82" s="5">
        <v>0</v>
      </c>
      <c r="M82" s="5">
        <v>0</v>
      </c>
      <c r="N82" s="9" t="s">
        <v>348</v>
      </c>
    </row>
    <row r="83" spans="1:14" x14ac:dyDescent="0.2">
      <c r="A83" s="12" t="s">
        <v>25</v>
      </c>
      <c r="B83" s="12" t="s">
        <v>26</v>
      </c>
      <c r="C83" s="12" t="s">
        <v>465</v>
      </c>
      <c r="D83" s="12" t="s">
        <v>298</v>
      </c>
      <c r="E83" s="13" t="s">
        <v>388</v>
      </c>
      <c r="F83" s="14" t="str">
        <f>INDEX('Woolworths Products'!$B$2:$B$208,MATCH($E83,'Woolworths Products'!$A$2:$A$208,0))</f>
        <v>Long Life Full Cream Milk 1 L</v>
      </c>
      <c r="G83" s="15">
        <v>250</v>
      </c>
      <c r="H83" s="14" t="str">
        <f>INDEX('Woolworths Products'!$G$2:$G$208,MATCH($E83,'Woolworths Products'!$A$2:$A$208,0))</f>
        <v>ml</v>
      </c>
      <c r="I83" s="14">
        <f>INDEX('Woolworths Products'!$F$2:$F$208,MATCH($E83,'Woolworths Products'!$A$2:$A$208,0))</f>
        <v>1000</v>
      </c>
      <c r="J83" s="14">
        <f>INDEX('Woolworths Products'!$E$2:$E$208,MATCH($E83,'Woolworths Products'!$A$2:$A$208,0))</f>
        <v>22.99</v>
      </c>
      <c r="K83" s="5">
        <f>IF(COUNTIFS($A$2:A83,A83,$E$2:E83,E83)=1,ROUNDUP(SUMIFS($G:$G,$A:$A,A83,$E:$E,E83)/I83,0),0)</f>
        <v>1</v>
      </c>
      <c r="L83" s="5">
        <f t="shared" ref="L83:L96" si="8">K83*J83</f>
        <v>22.99</v>
      </c>
      <c r="M83" s="5">
        <f t="shared" ref="M83:M96" si="9">G83/I83*J83</f>
        <v>5.7474999999999996</v>
      </c>
      <c r="N83" s="9"/>
    </row>
    <row r="84" spans="1:14" x14ac:dyDescent="0.2">
      <c r="A84" s="12" t="s">
        <v>25</v>
      </c>
      <c r="B84" s="12" t="s">
        <v>26</v>
      </c>
      <c r="C84" s="12" t="s">
        <v>466</v>
      </c>
      <c r="D84" s="12" t="s">
        <v>298</v>
      </c>
      <c r="E84" s="13" t="s">
        <v>467</v>
      </c>
      <c r="F84" s="14" t="str">
        <f>INDEX('Woolworths Products'!$B$2:$B$208,MATCH($E84,'Woolworths Products'!$A$2:$A$208,0))</f>
        <v>Unsweetened Cocoa Powder 150 g</v>
      </c>
      <c r="G84" s="15">
        <v>7</v>
      </c>
      <c r="H84" s="14" t="str">
        <f>INDEX('Woolworths Products'!$G$2:$G$208,MATCH($E84,'Woolworths Products'!$A$2:$A$208,0))</f>
        <v>g</v>
      </c>
      <c r="I84" s="14">
        <f>INDEX('Woolworths Products'!$F$2:$F$208,MATCH($E84,'Woolworths Products'!$A$2:$A$208,0))</f>
        <v>150</v>
      </c>
      <c r="J84" s="14">
        <f>INDEX('Woolworths Products'!$E$2:$E$208,MATCH($E84,'Woolworths Products'!$A$2:$A$208,0))</f>
        <v>84.99</v>
      </c>
      <c r="K84" s="5">
        <f>IF(COUNTIFS($A$2:A84,A84,$E$2:E84,E84)=1,ROUNDUP(SUMIFS($G:$G,$A:$A,A84,$E:$E,E84)/I84,0),0)</f>
        <v>1</v>
      </c>
      <c r="L84" s="5">
        <f t="shared" si="8"/>
        <v>84.99</v>
      </c>
      <c r="M84" s="5">
        <f t="shared" si="9"/>
        <v>3.9661999999999997</v>
      </c>
      <c r="N84" s="9" t="s">
        <v>468</v>
      </c>
    </row>
    <row r="85" spans="1:14" x14ac:dyDescent="0.2">
      <c r="A85" s="12" t="s">
        <v>25</v>
      </c>
      <c r="B85" s="12" t="s">
        <v>26</v>
      </c>
      <c r="C85" s="12" t="s">
        <v>469</v>
      </c>
      <c r="D85" s="12" t="s">
        <v>298</v>
      </c>
      <c r="E85" s="13" t="s">
        <v>357</v>
      </c>
      <c r="F85" s="14" t="str">
        <f>INDEX('Woolworths Products'!$B$2:$B$208,MATCH($E85,'Woolworths Products'!$A$2:$A$208,0))</f>
        <v>White Sugar 1 kg</v>
      </c>
      <c r="G85" s="15">
        <v>4</v>
      </c>
      <c r="H85" s="14" t="str">
        <f>INDEX('Woolworths Products'!$G$2:$G$208,MATCH($E85,'Woolworths Products'!$A$2:$A$208,0))</f>
        <v>g</v>
      </c>
      <c r="I85" s="14">
        <f>INDEX('Woolworths Products'!$F$2:$F$208,MATCH($E85,'Woolworths Products'!$A$2:$A$208,0))</f>
        <v>1000</v>
      </c>
      <c r="J85" s="14">
        <f>INDEX('Woolworths Products'!$E$2:$E$208,MATCH($E85,'Woolworths Products'!$A$2:$A$208,0))</f>
        <v>33.99</v>
      </c>
      <c r="K85" s="5">
        <f>IF(COUNTIFS($A$2:A85,A85,$E$2:E85,E85)=1,ROUNDUP(SUMIFS($G:$G,$A:$A,A85,$E:$E,E85)/I85,0),0)</f>
        <v>1</v>
      </c>
      <c r="L85" s="5">
        <f t="shared" si="8"/>
        <v>33.99</v>
      </c>
      <c r="M85" s="5">
        <f t="shared" si="9"/>
        <v>0.13596</v>
      </c>
      <c r="N85" s="9"/>
    </row>
    <row r="86" spans="1:14" x14ac:dyDescent="0.2">
      <c r="A86" s="12" t="s">
        <v>27</v>
      </c>
      <c r="B86" s="12" t="s">
        <v>11</v>
      </c>
      <c r="C86" s="12" t="s">
        <v>470</v>
      </c>
      <c r="D86" s="12" t="s">
        <v>298</v>
      </c>
      <c r="E86" s="13" t="s">
        <v>371</v>
      </c>
      <c r="F86" s="14" t="str">
        <f>INDEX('Woolworths Products'!$B$2:$B$208,MATCH($E86,'Woolworths Products'!$A$2:$A$208,0))</f>
        <v>Halaal Lean Beef Mince 500 g</v>
      </c>
      <c r="G86" s="15">
        <v>500</v>
      </c>
      <c r="H86" s="14" t="str">
        <f>INDEX('Woolworths Products'!$G$2:$G$208,MATCH($E86,'Woolworths Products'!$A$2:$A$208,0))</f>
        <v>g</v>
      </c>
      <c r="I86" s="14">
        <f>INDEX('Woolworths Products'!$F$2:$F$208,MATCH($E86,'Woolworths Products'!$A$2:$A$208,0))</f>
        <v>500</v>
      </c>
      <c r="J86" s="14">
        <f>INDEX('Woolworths Products'!$E$2:$E$208,MATCH($E86,'Woolworths Products'!$A$2:$A$208,0))</f>
        <v>64.989999999999995</v>
      </c>
      <c r="K86" s="5">
        <f>IF(COUNTIFS($A$2:A86,A86,$E$2:E86,E86)=1,ROUNDUP(SUMIFS($G:$G,$A:$A,A86,$E:$E,E86)/I86,0),0)</f>
        <v>1</v>
      </c>
      <c r="L86" s="5">
        <f t="shared" si="8"/>
        <v>64.989999999999995</v>
      </c>
      <c r="M86" s="5">
        <f t="shared" si="9"/>
        <v>64.989999999999995</v>
      </c>
      <c r="N86" s="9"/>
    </row>
    <row r="87" spans="1:14" x14ac:dyDescent="0.2">
      <c r="A87" s="12" t="s">
        <v>27</v>
      </c>
      <c r="B87" s="12" t="s">
        <v>11</v>
      </c>
      <c r="C87" s="12" t="s">
        <v>471</v>
      </c>
      <c r="D87" s="12" t="s">
        <v>298</v>
      </c>
      <c r="E87" s="13" t="s">
        <v>343</v>
      </c>
      <c r="F87" s="14" t="str">
        <f>INDEX('Woolworths Products'!$B$2:$B$208,MATCH($E87,'Woolworths Products'!$A$2:$A$208,0))</f>
        <v>Brown Onions 1 kg</v>
      </c>
      <c r="G87" s="15">
        <v>150</v>
      </c>
      <c r="H87" s="14" t="str">
        <f>INDEX('Woolworths Products'!$G$2:$G$208,MATCH($E87,'Woolworths Products'!$A$2:$A$208,0))</f>
        <v>g</v>
      </c>
      <c r="I87" s="14">
        <f>INDEX('Woolworths Products'!$F$2:$F$208,MATCH($E87,'Woolworths Products'!$A$2:$A$208,0))</f>
        <v>1000</v>
      </c>
      <c r="J87" s="14">
        <f>INDEX('Woolworths Products'!$E$2:$E$208,MATCH($E87,'Woolworths Products'!$A$2:$A$208,0))</f>
        <v>39.9</v>
      </c>
      <c r="K87" s="5">
        <f>IF(COUNTIFS($A$2:A87,A87,$E$2:E87,E87)=1,ROUNDUP(SUMIFS($G:$G,$A:$A,A87,$E:$E,E87)/I87,0),0)</f>
        <v>1</v>
      </c>
      <c r="L87" s="5">
        <f t="shared" si="8"/>
        <v>39.9</v>
      </c>
      <c r="M87" s="5">
        <f t="shared" si="9"/>
        <v>5.9849999999999994</v>
      </c>
      <c r="N87" s="9" t="s">
        <v>344</v>
      </c>
    </row>
    <row r="88" spans="1:14" x14ac:dyDescent="0.2">
      <c r="A88" s="12" t="s">
        <v>27</v>
      </c>
      <c r="B88" s="12" t="s">
        <v>11</v>
      </c>
      <c r="C88" s="12" t="s">
        <v>472</v>
      </c>
      <c r="D88" s="12" t="s">
        <v>298</v>
      </c>
      <c r="E88" s="13" t="s">
        <v>377</v>
      </c>
      <c r="F88" s="14" t="str">
        <f>INDEX('Woolworths Products'!$B$2:$B$208,MATCH($E88,'Woolworths Products'!$A$2:$A$208,0))</f>
        <v>Fresh Peeled Garlic 50 g</v>
      </c>
      <c r="G88" s="15">
        <v>2.5</v>
      </c>
      <c r="H88" s="14" t="str">
        <f>INDEX('Woolworths Products'!$G$2:$G$208,MATCH($E88,'Woolworths Products'!$A$2:$A$208,0))</f>
        <v>clove</v>
      </c>
      <c r="I88" s="14">
        <f>INDEX('Woolworths Products'!$F$2:$F$208,MATCH($E88,'Woolworths Products'!$A$2:$A$208,0))</f>
        <v>10</v>
      </c>
      <c r="J88" s="14">
        <f>INDEX('Woolworths Products'!$E$2:$E$208,MATCH($E88,'Woolworths Products'!$A$2:$A$208,0))</f>
        <v>29.99</v>
      </c>
      <c r="K88" s="5">
        <f>IF(COUNTIFS($A$2:A88,A88,$E$2:E88,E88)=1,ROUNDUP(SUMIFS($G:$G,$A:$A,A88,$E:$E,E88)/I88,0),0)</f>
        <v>1</v>
      </c>
      <c r="L88" s="5">
        <f t="shared" si="8"/>
        <v>29.99</v>
      </c>
      <c r="M88" s="5">
        <f t="shared" si="9"/>
        <v>7.4974999999999996</v>
      </c>
      <c r="N88" s="9" t="s">
        <v>378</v>
      </c>
    </row>
    <row r="89" spans="1:14" x14ac:dyDescent="0.2">
      <c r="A89" s="12" t="s">
        <v>27</v>
      </c>
      <c r="B89" s="12" t="s">
        <v>11</v>
      </c>
      <c r="C89" s="12" t="s">
        <v>473</v>
      </c>
      <c r="D89" s="12" t="s">
        <v>298</v>
      </c>
      <c r="E89" s="13" t="s">
        <v>304</v>
      </c>
      <c r="F89" s="14" t="str">
        <f>INDEX('Woolworths Products'!$B$2:$B$208,MATCH($E89,'Woolworths Products'!$A$2:$A$208,0))</f>
        <v>Medium Carrots 500 g</v>
      </c>
      <c r="G89" s="15">
        <v>160</v>
      </c>
      <c r="H89" s="14" t="str">
        <f>INDEX('Woolworths Products'!$G$2:$G$208,MATCH($E89,'Woolworths Products'!$A$2:$A$208,0))</f>
        <v>g</v>
      </c>
      <c r="I89" s="14">
        <f>INDEX('Woolworths Products'!$F$2:$F$208,MATCH($E89,'Woolworths Products'!$A$2:$A$208,0))</f>
        <v>500</v>
      </c>
      <c r="J89" s="14">
        <f>INDEX('Woolworths Products'!$E$2:$E$208,MATCH($E89,'Woolworths Products'!$A$2:$A$208,0))</f>
        <v>14.99</v>
      </c>
      <c r="K89" s="5">
        <f>IF(COUNTIFS($A$2:A89,A89,$E$2:E89,E89)=1,ROUNDUP(SUMIFS($G:$G,$A:$A,A89,$E:$E,E89)/I89,0),0)</f>
        <v>1</v>
      </c>
      <c r="L89" s="5">
        <f t="shared" si="8"/>
        <v>14.99</v>
      </c>
      <c r="M89" s="5">
        <f t="shared" si="9"/>
        <v>4.7968000000000002</v>
      </c>
      <c r="N89" s="9"/>
    </row>
    <row r="90" spans="1:14" x14ac:dyDescent="0.2">
      <c r="A90" s="12" t="s">
        <v>27</v>
      </c>
      <c r="B90" s="12" t="s">
        <v>11</v>
      </c>
      <c r="C90" s="12" t="s">
        <v>474</v>
      </c>
      <c r="D90" s="12" t="s">
        <v>298</v>
      </c>
      <c r="E90" s="13" t="s">
        <v>475</v>
      </c>
      <c r="F90" s="14" t="str">
        <f>INDEX('Woolworths Products'!$B$2:$B$208,MATCH($E90,'Woolworths Products'!$A$2:$A$208,0))</f>
        <v>Portabello Mushrooms 4 pk</v>
      </c>
      <c r="G90" s="15">
        <v>2</v>
      </c>
      <c r="H90" s="14" t="str">
        <f>INDEX('Woolworths Products'!$G$2:$G$208,MATCH($E90,'Woolworths Products'!$A$2:$A$208,0))</f>
        <v>ea</v>
      </c>
      <c r="I90" s="14">
        <f>INDEX('Woolworths Products'!$F$2:$F$208,MATCH($E90,'Woolworths Products'!$A$2:$A$208,0))</f>
        <v>4</v>
      </c>
      <c r="J90" s="14">
        <f>INDEX('Woolworths Products'!$E$2:$E$208,MATCH($E90,'Woolworths Products'!$A$2:$A$208,0))</f>
        <v>61.99</v>
      </c>
      <c r="K90" s="5">
        <f>IF(COUNTIFS($A$2:A90,A90,$E$2:E90,E90)=1,ROUNDUP(SUMIFS($G:$G,$A:$A,A90,$E:$E,E90)/I90,0),0)</f>
        <v>1</v>
      </c>
      <c r="L90" s="5">
        <f t="shared" si="8"/>
        <v>61.99</v>
      </c>
      <c r="M90" s="5">
        <f t="shared" si="9"/>
        <v>30.995000000000001</v>
      </c>
      <c r="N90" s="9"/>
    </row>
    <row r="91" spans="1:14" x14ac:dyDescent="0.2">
      <c r="A91" s="12" t="s">
        <v>27</v>
      </c>
      <c r="B91" s="12" t="s">
        <v>11</v>
      </c>
      <c r="C91" s="12" t="s">
        <v>476</v>
      </c>
      <c r="D91" s="12" t="s">
        <v>298</v>
      </c>
      <c r="E91" s="13" t="s">
        <v>301</v>
      </c>
      <c r="F91" s="14" t="str">
        <f>INDEX('Woolworths Products'!$B$2:$B$208,MATCH($E91,'Woolworths Products'!$A$2:$A$208,0))</f>
        <v>Baby Marrows 350 g</v>
      </c>
      <c r="G91" s="15">
        <v>315</v>
      </c>
      <c r="H91" s="14" t="str">
        <f>INDEX('Woolworths Products'!$G$2:$G$208,MATCH($E91,'Woolworths Products'!$A$2:$A$208,0))</f>
        <v>g</v>
      </c>
      <c r="I91" s="14">
        <f>INDEX('Woolworths Products'!$F$2:$F$208,MATCH($E91,'Woolworths Products'!$A$2:$A$208,0))</f>
        <v>350</v>
      </c>
      <c r="J91" s="14">
        <f>INDEX('Woolworths Products'!$E$2:$E$208,MATCH($E91,'Woolworths Products'!$A$2:$A$208,0))</f>
        <v>32.99</v>
      </c>
      <c r="K91" s="5">
        <f>IF(COUNTIFS($A$2:A91,A91,$E$2:E91,E91)=1,ROUNDUP(SUMIFS($G:$G,$A:$A,A91,$E:$E,E91)/I91,0),0)</f>
        <v>1</v>
      </c>
      <c r="L91" s="5">
        <f t="shared" si="8"/>
        <v>32.99</v>
      </c>
      <c r="M91" s="5">
        <f t="shared" si="9"/>
        <v>29.691000000000003</v>
      </c>
      <c r="N91" s="9" t="s">
        <v>477</v>
      </c>
    </row>
    <row r="92" spans="1:14" x14ac:dyDescent="0.2">
      <c r="A92" s="12" t="s">
        <v>27</v>
      </c>
      <c r="B92" s="12" t="s">
        <v>11</v>
      </c>
      <c r="C92" s="12" t="s">
        <v>478</v>
      </c>
      <c r="D92" s="12" t="s">
        <v>298</v>
      </c>
      <c r="E92" s="13" t="s">
        <v>479</v>
      </c>
      <c r="F92" s="14" t="str">
        <f>INDEX('Woolworths Products'!$B$2:$B$208,MATCH($E92,'Woolworths Products'!$A$2:$A$208,0))</f>
        <v>Slicing Tomatoes 4 pk</v>
      </c>
      <c r="G92" s="15">
        <v>2</v>
      </c>
      <c r="H92" s="14" t="str">
        <f>INDEX('Woolworths Products'!$G$2:$G$208,MATCH($E92,'Woolworths Products'!$A$2:$A$208,0))</f>
        <v>ea</v>
      </c>
      <c r="I92" s="14">
        <f>INDEX('Woolworths Products'!$F$2:$F$208,MATCH($E92,'Woolworths Products'!$A$2:$A$208,0))</f>
        <v>4</v>
      </c>
      <c r="J92" s="14">
        <f>INDEX('Woolworths Products'!$E$2:$E$208,MATCH($E92,'Woolworths Products'!$A$2:$A$208,0))</f>
        <v>26.99</v>
      </c>
      <c r="K92" s="5">
        <f>IF(COUNTIFS($A$2:A92,A92,$E$2:E92,E92)=1,ROUNDUP(SUMIFS($G:$G,$A:$A,A92,$E:$E,E92)/I92,0),0)</f>
        <v>1</v>
      </c>
      <c r="L92" s="5">
        <f t="shared" si="8"/>
        <v>26.99</v>
      </c>
      <c r="M92" s="5">
        <f t="shared" si="9"/>
        <v>13.494999999999999</v>
      </c>
      <c r="N92" s="9"/>
    </row>
    <row r="93" spans="1:14" x14ac:dyDescent="0.2">
      <c r="A93" s="12" t="s">
        <v>27</v>
      </c>
      <c r="B93" s="12" t="s">
        <v>11</v>
      </c>
      <c r="C93" s="12" t="s">
        <v>480</v>
      </c>
      <c r="D93" s="12" t="s">
        <v>298</v>
      </c>
      <c r="E93" s="13" t="s">
        <v>481</v>
      </c>
      <c r="F93" s="14" t="str">
        <f>INDEX('Woolworths Products'!$B$2:$B$208,MATCH($E93,'Woolworths Products'!$A$2:$A$208,0))</f>
        <v>Tomato and Onion Mix 410 g</v>
      </c>
      <c r="G93" s="15">
        <v>1</v>
      </c>
      <c r="H93" s="14" t="str">
        <f>INDEX('Woolworths Products'!$G$2:$G$208,MATCH($E93,'Woolworths Products'!$A$2:$A$208,0))</f>
        <v>ea</v>
      </c>
      <c r="I93" s="14">
        <f>INDEX('Woolworths Products'!$F$2:$F$208,MATCH($E93,'Woolworths Products'!$A$2:$A$208,0))</f>
        <v>1</v>
      </c>
      <c r="J93" s="14">
        <f>INDEX('Woolworths Products'!$E$2:$E$208,MATCH($E93,'Woolworths Products'!$A$2:$A$208,0))</f>
        <v>26.99</v>
      </c>
      <c r="K93" s="5">
        <f>IF(COUNTIFS($A$2:A93,A93,$E$2:E93,E93)=1,ROUNDUP(SUMIFS($G:$G,$A:$A,A93,$E:$E,E93)/I93,0),0)</f>
        <v>1</v>
      </c>
      <c r="L93" s="5">
        <f t="shared" si="8"/>
        <v>26.99</v>
      </c>
      <c r="M93" s="5">
        <f t="shared" si="9"/>
        <v>26.99</v>
      </c>
      <c r="N93" s="9"/>
    </row>
    <row r="94" spans="1:14" x14ac:dyDescent="0.2">
      <c r="A94" s="12" t="s">
        <v>27</v>
      </c>
      <c r="B94" s="12" t="s">
        <v>11</v>
      </c>
      <c r="C94" s="12" t="s">
        <v>482</v>
      </c>
      <c r="D94" s="12" t="s">
        <v>298</v>
      </c>
      <c r="E94" s="13" t="s">
        <v>483</v>
      </c>
      <c r="F94" s="14" t="str">
        <f>INDEX('Woolworths Products'!$B$2:$B$208,MATCH($E94,'Woolworths Products'!$A$2:$A$208,0))</f>
        <v>Tomato Paste 70 g</v>
      </c>
      <c r="G94" s="15">
        <v>100</v>
      </c>
      <c r="H94" s="14" t="str">
        <f>INDEX('Woolworths Products'!$G$2:$G$208,MATCH($E94,'Woolworths Products'!$A$2:$A$208,0))</f>
        <v>g</v>
      </c>
      <c r="I94" s="14">
        <f>INDEX('Woolworths Products'!$F$2:$F$208,MATCH($E94,'Woolworths Products'!$A$2:$A$208,0))</f>
        <v>70</v>
      </c>
      <c r="J94" s="14">
        <f>INDEX('Woolworths Products'!$E$2:$E$208,MATCH($E94,'Woolworths Products'!$A$2:$A$208,0))</f>
        <v>17.989999999999998</v>
      </c>
      <c r="K94" s="5">
        <f>IF(COUNTIFS($A$2:A94,A94,$E$2:E94,E94)=1,ROUNDUP(SUMIFS($G:$G,$A:$A,A94,$E:$E,E94)/I94,0),0)</f>
        <v>2</v>
      </c>
      <c r="L94" s="5">
        <f t="shared" si="8"/>
        <v>35.979999999999997</v>
      </c>
      <c r="M94" s="5">
        <f t="shared" si="9"/>
        <v>25.7</v>
      </c>
      <c r="N94" s="9" t="s">
        <v>484</v>
      </c>
    </row>
    <row r="95" spans="1:14" x14ac:dyDescent="0.2">
      <c r="A95" s="16" t="s">
        <v>27</v>
      </c>
      <c r="B95" s="16" t="s">
        <v>11</v>
      </c>
      <c r="C95" s="16" t="s">
        <v>485</v>
      </c>
      <c r="D95" s="16" t="s">
        <v>298</v>
      </c>
      <c r="E95" s="17" t="s">
        <v>486</v>
      </c>
      <c r="F95" s="18" t="str">
        <f>INDEX('Woolworths Products'!$B$2:$B$208,MATCH($E95,'Woolworths Products'!$A$2:$A$208,0))</f>
        <v>Fresh Basil 30 g</v>
      </c>
      <c r="G95" s="19">
        <v>0.5</v>
      </c>
      <c r="H95" s="18" t="str">
        <f>INDEX('Woolworths Products'!$G$2:$G$208,MATCH($E95,'Woolworths Products'!$A$2:$A$208,0))</f>
        <v>punnet</v>
      </c>
      <c r="I95" s="18">
        <f>INDEX('Woolworths Products'!$F$2:$F$208,MATCH($E95,'Woolworths Products'!$A$2:$A$208,0))</f>
        <v>1</v>
      </c>
      <c r="J95" s="18">
        <f>INDEX('Woolworths Products'!$E$2:$E$208,MATCH($E95,'Woolworths Products'!$A$2:$A$208,0))</f>
        <v>15.99</v>
      </c>
      <c r="K95" s="20">
        <f>IF(COUNTIFS($A$2:A95,A95,$E$2:E95,E95)=1,ROUNDUP(SUMIFS($G:$G,$A:$A,A95,$E:$E,E95)/I95,0),0)</f>
        <v>1</v>
      </c>
      <c r="L95" s="20">
        <f t="shared" si="8"/>
        <v>15.99</v>
      </c>
      <c r="M95" s="20">
        <f t="shared" si="9"/>
        <v>7.9950000000000001</v>
      </c>
      <c r="N95" s="21" t="s">
        <v>425</v>
      </c>
    </row>
    <row r="96" spans="1:14" x14ac:dyDescent="0.2">
      <c r="A96" s="12" t="s">
        <v>27</v>
      </c>
      <c r="B96" s="12" t="s">
        <v>11</v>
      </c>
      <c r="C96" s="12" t="s">
        <v>469</v>
      </c>
      <c r="D96" s="12" t="s">
        <v>298</v>
      </c>
      <c r="E96" s="13" t="s">
        <v>357</v>
      </c>
      <c r="F96" s="14" t="str">
        <f>INDEX('Woolworths Products'!$B$2:$B$208,MATCH($E96,'Woolworths Products'!$A$2:$A$208,0))</f>
        <v>White Sugar 1 kg</v>
      </c>
      <c r="G96" s="15">
        <v>4</v>
      </c>
      <c r="H96" s="14" t="str">
        <f>INDEX('Woolworths Products'!$G$2:$G$208,MATCH($E96,'Woolworths Products'!$A$2:$A$208,0))</f>
        <v>g</v>
      </c>
      <c r="I96" s="14">
        <f>INDEX('Woolworths Products'!$F$2:$F$208,MATCH($E96,'Woolworths Products'!$A$2:$A$208,0))</f>
        <v>1000</v>
      </c>
      <c r="J96" s="14">
        <f>INDEX('Woolworths Products'!$E$2:$E$208,MATCH($E96,'Woolworths Products'!$A$2:$A$208,0))</f>
        <v>33.99</v>
      </c>
      <c r="K96" s="5">
        <f>IF(COUNTIFS($A$2:A96,A96,$E$2:E96,E96)=1,ROUNDUP(SUMIFS($G:$G,$A:$A,A96,$E:$E,E96)/I96,0),0)</f>
        <v>1</v>
      </c>
      <c r="L96" s="5">
        <f t="shared" si="8"/>
        <v>33.99</v>
      </c>
      <c r="M96" s="5">
        <f t="shared" si="9"/>
        <v>0.13596</v>
      </c>
      <c r="N96" s="9"/>
    </row>
    <row r="97" spans="1:14" x14ac:dyDescent="0.2">
      <c r="A97" s="13" t="s">
        <v>27</v>
      </c>
      <c r="B97" s="13" t="s">
        <v>11</v>
      </c>
      <c r="C97" s="13" t="s">
        <v>487</v>
      </c>
      <c r="D97" s="13" t="s">
        <v>349</v>
      </c>
      <c r="E97" s="13"/>
      <c r="L97" s="5">
        <v>0</v>
      </c>
      <c r="M97" s="5">
        <v>0</v>
      </c>
      <c r="N97" s="9" t="s">
        <v>348</v>
      </c>
    </row>
    <row r="98" spans="1:14" x14ac:dyDescent="0.2">
      <c r="A98" s="16" t="s">
        <v>27</v>
      </c>
      <c r="B98" s="16" t="s">
        <v>11</v>
      </c>
      <c r="C98" s="16" t="s">
        <v>488</v>
      </c>
      <c r="D98" s="16" t="s">
        <v>298</v>
      </c>
      <c r="E98" s="17" t="s">
        <v>489</v>
      </c>
      <c r="F98" s="18" t="str">
        <f>INDEX('Woolworths Products'!$B$2:$B$208,MATCH($E98,'Woolworths Products'!$A$2:$A$208,0))</f>
        <v>Large Potatoes 2 kg</v>
      </c>
      <c r="G98" s="19">
        <v>800</v>
      </c>
      <c r="H98" s="18" t="str">
        <f>INDEX('Woolworths Products'!$G$2:$G$208,MATCH($E98,'Woolworths Products'!$A$2:$A$208,0))</f>
        <v>g</v>
      </c>
      <c r="I98" s="18">
        <f>INDEX('Woolworths Products'!$F$2:$F$208,MATCH($E98,'Woolworths Products'!$A$2:$A$208,0))</f>
        <v>2000</v>
      </c>
      <c r="J98" s="18">
        <f>INDEX('Woolworths Products'!$E$2:$E$208,MATCH($E98,'Woolworths Products'!$A$2:$A$208,0))</f>
        <v>48.99</v>
      </c>
      <c r="K98" s="20">
        <f>IF(COUNTIFS($A$2:A98,A98,$E$2:E98,E98)=1,ROUNDUP(SUMIFS($G:$G,$A:$A,A98,$E:$E,E98)/I98,0),0)</f>
        <v>1</v>
      </c>
      <c r="L98" s="20">
        <f t="shared" ref="L98:L103" si="10">K98*J98</f>
        <v>48.99</v>
      </c>
      <c r="M98" s="20">
        <f t="shared" ref="M98:M103" si="11">G98/I98*J98</f>
        <v>19.596000000000004</v>
      </c>
      <c r="N98" s="21" t="s">
        <v>490</v>
      </c>
    </row>
    <row r="99" spans="1:14" x14ac:dyDescent="0.2">
      <c r="A99" s="16" t="s">
        <v>27</v>
      </c>
      <c r="B99" s="16" t="s">
        <v>11</v>
      </c>
      <c r="C99" s="16" t="s">
        <v>491</v>
      </c>
      <c r="D99" s="16" t="s">
        <v>298</v>
      </c>
      <c r="E99" s="17" t="s">
        <v>492</v>
      </c>
      <c r="F99" s="18" t="str">
        <f>INDEX('Woolworths Products'!$B$2:$B$208,MATCH($E99,'Woolworths Products'!$A$2:$A$208,0))</f>
        <v>South African Grated Medium Fat Hard Cheese 60 g</v>
      </c>
      <c r="G99" s="19">
        <v>20</v>
      </c>
      <c r="H99" s="18" t="str">
        <f>INDEX('Woolworths Products'!$G$2:$G$208,MATCH($E99,'Woolworths Products'!$A$2:$A$208,0))</f>
        <v>g</v>
      </c>
      <c r="I99" s="18">
        <f>INDEX('Woolworths Products'!$F$2:$F$208,MATCH($E99,'Woolworths Products'!$A$2:$A$208,0))</f>
        <v>60</v>
      </c>
      <c r="J99" s="18">
        <f>INDEX('Woolworths Products'!$E$2:$E$208,MATCH($E99,'Woolworths Products'!$A$2:$A$208,0))</f>
        <v>49.99</v>
      </c>
      <c r="K99" s="20">
        <f>IF(COUNTIFS($A$2:A99,A99,$E$2:E99,E99)=1,ROUNDUP(SUMIFS($G:$G,$A:$A,A99,$E:$E,E99)/I99,0),0)</f>
        <v>1</v>
      </c>
      <c r="L99" s="20">
        <f t="shared" si="10"/>
        <v>49.99</v>
      </c>
      <c r="M99" s="20">
        <f t="shared" si="11"/>
        <v>16.663333333333334</v>
      </c>
      <c r="N99" s="21" t="s">
        <v>493</v>
      </c>
    </row>
    <row r="100" spans="1:14" x14ac:dyDescent="0.2">
      <c r="A100" s="16" t="s">
        <v>27</v>
      </c>
      <c r="B100" s="16" t="s">
        <v>11</v>
      </c>
      <c r="C100" s="16" t="s">
        <v>494</v>
      </c>
      <c r="D100" s="16" t="s">
        <v>298</v>
      </c>
      <c r="E100" s="17" t="s">
        <v>495</v>
      </c>
      <c r="F100" s="18" t="str">
        <f>INDEX('Woolworths Products'!$B$2:$B$208,MATCH($E100,'Woolworths Products'!$A$2:$A$208,0))</f>
        <v>Fresh Thyme 20 g</v>
      </c>
      <c r="G100" s="19">
        <v>0.25</v>
      </c>
      <c r="H100" s="18" t="str">
        <f>INDEX('Woolworths Products'!$G$2:$G$208,MATCH($E100,'Woolworths Products'!$A$2:$A$208,0))</f>
        <v>punnet</v>
      </c>
      <c r="I100" s="18">
        <f>INDEX('Woolworths Products'!$F$2:$F$208,MATCH($E100,'Woolworths Products'!$A$2:$A$208,0))</f>
        <v>1</v>
      </c>
      <c r="J100" s="18">
        <f>INDEX('Woolworths Products'!$E$2:$E$208,MATCH($E100,'Woolworths Products'!$A$2:$A$208,0))</f>
        <v>15.99</v>
      </c>
      <c r="K100" s="20">
        <f>IF(COUNTIFS($A$2:A100,A100,$E$2:E100,E100)=1,ROUNDUP(SUMIFS($G:$G,$A:$A,A100,$E:$E,E100)/I100,0),0)</f>
        <v>1</v>
      </c>
      <c r="L100" s="20">
        <f t="shared" si="10"/>
        <v>15.99</v>
      </c>
      <c r="M100" s="20">
        <f t="shared" si="11"/>
        <v>3.9975000000000001</v>
      </c>
      <c r="N100" s="21" t="s">
        <v>410</v>
      </c>
    </row>
    <row r="101" spans="1:14" x14ac:dyDescent="0.2">
      <c r="A101" s="16" t="s">
        <v>28</v>
      </c>
      <c r="B101" s="16" t="s">
        <v>11</v>
      </c>
      <c r="C101" s="16" t="s">
        <v>496</v>
      </c>
      <c r="D101" s="16" t="s">
        <v>298</v>
      </c>
      <c r="E101" s="17" t="s">
        <v>497</v>
      </c>
      <c r="F101" s="18" t="str">
        <f>INDEX('Woolworths Products'!$B$2:$B$208,MATCH($E101,'Woolworths Products'!$A$2:$A$208,0))</f>
        <v>Free Range Skinless Thigh Mini Chicken Fillets Avg 800 g</v>
      </c>
      <c r="G101" s="19">
        <v>800</v>
      </c>
      <c r="H101" s="18" t="str">
        <f>INDEX('Woolworths Products'!$G$2:$G$208,MATCH($E101,'Woolworths Products'!$A$2:$A$208,0))</f>
        <v>g</v>
      </c>
      <c r="I101" s="18">
        <f>INDEX('Woolworths Products'!$F$2:$F$208,MATCH($E101,'Woolworths Products'!$A$2:$A$208,0))</f>
        <v>800</v>
      </c>
      <c r="J101" s="18">
        <f>INDEX('Woolworths Products'!$E$2:$E$208,MATCH($E101,'Woolworths Products'!$A$2:$A$208,0))</f>
        <v>135.99</v>
      </c>
      <c r="K101" s="20">
        <f>IF(COUNTIFS($A$2:A101,A101,$E$2:E101,E101)=1,ROUNDUP(SUMIFS($G:$G,$A:$A,A101,$E:$E,E101)/I101,0),0)</f>
        <v>1</v>
      </c>
      <c r="L101" s="20">
        <f t="shared" si="10"/>
        <v>135.99</v>
      </c>
      <c r="M101" s="20">
        <f t="shared" si="11"/>
        <v>135.99</v>
      </c>
      <c r="N101" s="21" t="s">
        <v>498</v>
      </c>
    </row>
    <row r="102" spans="1:14" x14ac:dyDescent="0.2">
      <c r="A102" s="16" t="s">
        <v>28</v>
      </c>
      <c r="B102" s="16" t="s">
        <v>11</v>
      </c>
      <c r="C102" s="16" t="s">
        <v>499</v>
      </c>
      <c r="D102" s="16" t="s">
        <v>298</v>
      </c>
      <c r="E102" s="17" t="s">
        <v>418</v>
      </c>
      <c r="F102" s="18" t="str">
        <f>INDEX('Woolworths Products'!$B$2:$B$208,MATCH($E102,'Woolworths Products'!$A$2:$A$208,0))</f>
        <v>Ayrshire Full Cream Plain Yoghurt 500 g</v>
      </c>
      <c r="G102" s="19">
        <v>125</v>
      </c>
      <c r="H102" s="18" t="str">
        <f>INDEX('Woolworths Products'!$G$2:$G$208,MATCH($E102,'Woolworths Products'!$A$2:$A$208,0))</f>
        <v>g</v>
      </c>
      <c r="I102" s="18">
        <f>INDEX('Woolworths Products'!$F$2:$F$208,MATCH($E102,'Woolworths Products'!$A$2:$A$208,0))</f>
        <v>500</v>
      </c>
      <c r="J102" s="18">
        <f>INDEX('Woolworths Products'!$E$2:$E$208,MATCH($E102,'Woolworths Products'!$A$2:$A$208,0))</f>
        <v>39.99</v>
      </c>
      <c r="K102" s="20">
        <f>IF(COUNTIFS($A$2:A102,A102,$E$2:E102,E102)=1,ROUNDUP(SUMIFS($G:$G,$A:$A,A102,$E:$E,E102)/I102,0),0)</f>
        <v>1</v>
      </c>
      <c r="L102" s="20">
        <f t="shared" si="10"/>
        <v>39.99</v>
      </c>
      <c r="M102" s="20">
        <f t="shared" si="11"/>
        <v>9.9975000000000005</v>
      </c>
      <c r="N102" s="21" t="s">
        <v>500</v>
      </c>
    </row>
    <row r="103" spans="1:14" x14ac:dyDescent="0.2">
      <c r="A103" s="16" t="s">
        <v>28</v>
      </c>
      <c r="B103" s="16" t="s">
        <v>11</v>
      </c>
      <c r="C103" s="16" t="s">
        <v>501</v>
      </c>
      <c r="D103" s="16" t="s">
        <v>298</v>
      </c>
      <c r="E103" s="17" t="s">
        <v>385</v>
      </c>
      <c r="F103" s="18" t="str">
        <f>INDEX('Woolworths Products'!$B$2:$B$208,MATCH($E103,'Woolworths Products'!$A$2:$A$208,0))</f>
        <v>Toasted Ciabatta Breadcrumbs 180 g</v>
      </c>
      <c r="G103" s="19">
        <v>80</v>
      </c>
      <c r="H103" s="18" t="str">
        <f>INDEX('Woolworths Products'!$G$2:$G$208,MATCH($E103,'Woolworths Products'!$A$2:$A$208,0))</f>
        <v>g</v>
      </c>
      <c r="I103" s="18">
        <f>INDEX('Woolworths Products'!$F$2:$F$208,MATCH($E103,'Woolworths Products'!$A$2:$A$208,0))</f>
        <v>180</v>
      </c>
      <c r="J103" s="18">
        <f>INDEX('Woolworths Products'!$E$2:$E$208,MATCH($E103,'Woolworths Products'!$A$2:$A$208,0))</f>
        <v>45</v>
      </c>
      <c r="K103" s="20">
        <f>IF(COUNTIFS($A$2:A103,A103,$E$2:E103,E103)=1,ROUNDUP(SUMIFS($G:$G,$A:$A,A103,$E:$E,E103)/I103,0),0)</f>
        <v>1</v>
      </c>
      <c r="L103" s="20">
        <f t="shared" si="10"/>
        <v>45</v>
      </c>
      <c r="M103" s="20">
        <f t="shared" si="11"/>
        <v>20</v>
      </c>
      <c r="N103" s="21" t="s">
        <v>502</v>
      </c>
    </row>
    <row r="104" spans="1:14" x14ac:dyDescent="0.2">
      <c r="A104" s="13" t="s">
        <v>28</v>
      </c>
      <c r="B104" s="13" t="s">
        <v>11</v>
      </c>
      <c r="C104" s="13" t="s">
        <v>422</v>
      </c>
      <c r="D104" s="13" t="s">
        <v>349</v>
      </c>
      <c r="E104" s="13"/>
      <c r="L104" s="5">
        <v>0</v>
      </c>
      <c r="M104" s="5">
        <v>0</v>
      </c>
      <c r="N104" s="9" t="s">
        <v>422</v>
      </c>
    </row>
    <row r="105" spans="1:14" x14ac:dyDescent="0.2">
      <c r="A105" s="16" t="s">
        <v>28</v>
      </c>
      <c r="B105" s="16" t="s">
        <v>11</v>
      </c>
      <c r="C105" s="16" t="s">
        <v>503</v>
      </c>
      <c r="D105" s="16" t="s">
        <v>298</v>
      </c>
      <c r="E105" s="17" t="s">
        <v>390</v>
      </c>
      <c r="F105" s="18" t="str">
        <f>INDEX('Woolworths Products'!$B$2:$B$208,MATCH($E105,'Woolworths Products'!$A$2:$A$208,0))</f>
        <v>Italian Herbs Refill 10 g</v>
      </c>
      <c r="G105" s="19">
        <v>2</v>
      </c>
      <c r="H105" s="18" t="str">
        <f>INDEX('Woolworths Products'!$G$2:$G$208,MATCH($E105,'Woolworths Products'!$A$2:$A$208,0))</f>
        <v>g</v>
      </c>
      <c r="I105" s="18">
        <f>INDEX('Woolworths Products'!$F$2:$F$208,MATCH($E105,'Woolworths Products'!$A$2:$A$208,0))</f>
        <v>10</v>
      </c>
      <c r="J105" s="18">
        <f>INDEX('Woolworths Products'!$E$2:$E$208,MATCH($E105,'Woolworths Products'!$A$2:$A$208,0))</f>
        <v>25.99</v>
      </c>
      <c r="K105" s="20">
        <f>IF(COUNTIFS($A$2:A105,A105,$E$2:E105,E105)=1,ROUNDUP(SUMIFS($G:$G,$A:$A,A105,$E:$E,E105)/I105,0),0)</f>
        <v>1</v>
      </c>
      <c r="L105" s="20">
        <f t="shared" ref="L105:L112" si="12">K105*J105</f>
        <v>25.99</v>
      </c>
      <c r="M105" s="20">
        <f t="shared" ref="M105:M112" si="13">G105/I105*J105</f>
        <v>5.1980000000000004</v>
      </c>
      <c r="N105" s="21" t="s">
        <v>504</v>
      </c>
    </row>
    <row r="106" spans="1:14" x14ac:dyDescent="0.2">
      <c r="A106" s="12" t="s">
        <v>28</v>
      </c>
      <c r="B106" s="12" t="s">
        <v>11</v>
      </c>
      <c r="C106" s="12" t="s">
        <v>345</v>
      </c>
      <c r="D106" s="12" t="s">
        <v>298</v>
      </c>
      <c r="E106" s="13" t="s">
        <v>323</v>
      </c>
      <c r="F106" s="14" t="str">
        <f>INDEX('Woolworths Products'!$B$2:$B$208,MATCH($E106,'Woolworths Products'!$A$2:$A$208,0))</f>
        <v>Lemons 3 pk</v>
      </c>
      <c r="G106" s="15">
        <v>1</v>
      </c>
      <c r="H106" s="14" t="str">
        <f>INDEX('Woolworths Products'!$G$2:$G$208,MATCH($E106,'Woolworths Products'!$A$2:$A$208,0))</f>
        <v>ea</v>
      </c>
      <c r="I106" s="14">
        <f>INDEX('Woolworths Products'!$F$2:$F$208,MATCH($E106,'Woolworths Products'!$A$2:$A$208,0))</f>
        <v>3</v>
      </c>
      <c r="J106" s="14">
        <f>INDEX('Woolworths Products'!$E$2:$E$208,MATCH($E106,'Woolworths Products'!$A$2:$A$208,0))</f>
        <v>27.99</v>
      </c>
      <c r="K106" s="5">
        <f>IF(COUNTIFS($A$2:A106,A106,$E$2:E106,E106)=1,ROUNDUP(SUMIFS($G:$G,$A:$A,A106,$E:$E,E106)/I106,0),0)</f>
        <v>1</v>
      </c>
      <c r="L106" s="5">
        <f t="shared" si="12"/>
        <v>27.99</v>
      </c>
      <c r="M106" s="5">
        <f t="shared" si="13"/>
        <v>9.3299999999999983</v>
      </c>
      <c r="N106" s="9"/>
    </row>
    <row r="107" spans="1:14" x14ac:dyDescent="0.2">
      <c r="A107" s="16" t="s">
        <v>28</v>
      </c>
      <c r="B107" s="16" t="s">
        <v>11</v>
      </c>
      <c r="C107" s="16" t="s">
        <v>505</v>
      </c>
      <c r="D107" s="16" t="s">
        <v>298</v>
      </c>
      <c r="E107" s="17" t="s">
        <v>506</v>
      </c>
      <c r="F107" s="18" t="str">
        <f>INDEX('Woolworths Products'!$B$2:$B$208,MATCH($E107,'Woolworths Products'!$A$2:$A$208,0))</f>
        <v>Tomato Soup 400 g</v>
      </c>
      <c r="G107" s="19">
        <v>1</v>
      </c>
      <c r="H107" s="18" t="str">
        <f>INDEX('Woolworths Products'!$G$2:$G$208,MATCH($E107,'Woolworths Products'!$A$2:$A$208,0))</f>
        <v>ea</v>
      </c>
      <c r="I107" s="18">
        <f>INDEX('Woolworths Products'!$F$2:$F$208,MATCH($E107,'Woolworths Products'!$A$2:$A$208,0))</f>
        <v>1</v>
      </c>
      <c r="J107" s="18">
        <f>INDEX('Woolworths Products'!$E$2:$E$208,MATCH($E107,'Woolworths Products'!$A$2:$A$208,0))</f>
        <v>37.99</v>
      </c>
      <c r="K107" s="20">
        <f>IF(COUNTIFS($A$2:A107,A107,$E$2:E107,E107)=1,ROUNDUP(SUMIFS($G:$G,$A:$A,A107,$E:$E,E107)/I107,0),0)</f>
        <v>1</v>
      </c>
      <c r="L107" s="20">
        <f t="shared" si="12"/>
        <v>37.99</v>
      </c>
      <c r="M107" s="20">
        <f t="shared" si="13"/>
        <v>37.99</v>
      </c>
      <c r="N107" s="21" t="s">
        <v>507</v>
      </c>
    </row>
    <row r="108" spans="1:14" x14ac:dyDescent="0.2">
      <c r="A108" s="16" t="s">
        <v>28</v>
      </c>
      <c r="B108" s="16" t="s">
        <v>11</v>
      </c>
      <c r="C108" s="16" t="s">
        <v>508</v>
      </c>
      <c r="D108" s="16" t="s">
        <v>298</v>
      </c>
      <c r="E108" s="17" t="s">
        <v>509</v>
      </c>
      <c r="F108" s="18" t="str">
        <f>INDEX('Woolworths Products'!$B$2:$B$208,MATCH($E108,'Woolworths Products'!$A$2:$A$208,0))</f>
        <v>Grated Mature Cheddar Cheese 250 g</v>
      </c>
      <c r="G108" s="19">
        <v>100</v>
      </c>
      <c r="H108" s="18" t="str">
        <f>INDEX('Woolworths Products'!$G$2:$G$208,MATCH($E108,'Woolworths Products'!$A$2:$A$208,0))</f>
        <v>g</v>
      </c>
      <c r="I108" s="18">
        <f>INDEX('Woolworths Products'!$F$2:$F$208,MATCH($E108,'Woolworths Products'!$A$2:$A$208,0))</f>
        <v>250</v>
      </c>
      <c r="J108" s="18">
        <f>INDEX('Woolworths Products'!$E$2:$E$208,MATCH($E108,'Woolworths Products'!$A$2:$A$208,0))</f>
        <v>74.989999999999995</v>
      </c>
      <c r="K108" s="20">
        <f>IF(COUNTIFS($A$2:A108,A108,$E$2:E108,E108)=1,ROUNDUP(SUMIFS($G:$G,$A:$A,A108,$E:$E,E108)/I108,0),0)</f>
        <v>1</v>
      </c>
      <c r="L108" s="20">
        <f t="shared" si="12"/>
        <v>74.989999999999995</v>
      </c>
      <c r="M108" s="20">
        <f t="shared" si="13"/>
        <v>29.995999999999999</v>
      </c>
      <c r="N108" s="21" t="s">
        <v>510</v>
      </c>
    </row>
    <row r="109" spans="1:14" x14ac:dyDescent="0.2">
      <c r="A109" s="12" t="s">
        <v>29</v>
      </c>
      <c r="B109" s="12" t="s">
        <v>20</v>
      </c>
      <c r="C109" s="12" t="s">
        <v>511</v>
      </c>
      <c r="D109" s="12" t="s">
        <v>298</v>
      </c>
      <c r="E109" s="13" t="s">
        <v>512</v>
      </c>
      <c r="F109" s="14" t="str">
        <f>INDEX('Woolworths Products'!$B$2:$B$208,MATCH($E109,'Woolworths Products'!$A$2:$A$208,0))</f>
        <v>Sunflower Seeds 250 g</v>
      </c>
      <c r="G109" s="15">
        <v>105</v>
      </c>
      <c r="H109" s="14" t="str">
        <f>INDEX('Woolworths Products'!$G$2:$G$208,MATCH($E109,'Woolworths Products'!$A$2:$A$208,0))</f>
        <v>g</v>
      </c>
      <c r="I109" s="14">
        <f>INDEX('Woolworths Products'!$F$2:$F$208,MATCH($E109,'Woolworths Products'!$A$2:$A$208,0))</f>
        <v>250</v>
      </c>
      <c r="J109" s="14">
        <f>INDEX('Woolworths Products'!$E$2:$E$208,MATCH($E109,'Woolworths Products'!$A$2:$A$208,0))</f>
        <v>49.99</v>
      </c>
      <c r="K109" s="5">
        <f>IF(COUNTIFS($A$2:A109,A109,$E$2:E109,E109)=1,ROUNDUP(SUMIFS($G:$G,$A:$A,A109,$E:$E,E109)/I109,0),0)</f>
        <v>1</v>
      </c>
      <c r="L109" s="5">
        <f t="shared" si="12"/>
        <v>49.99</v>
      </c>
      <c r="M109" s="5">
        <f t="shared" si="13"/>
        <v>20.995799999999999</v>
      </c>
      <c r="N109" s="9" t="s">
        <v>513</v>
      </c>
    </row>
    <row r="110" spans="1:14" x14ac:dyDescent="0.2">
      <c r="A110" s="12" t="s">
        <v>29</v>
      </c>
      <c r="B110" s="12" t="s">
        <v>20</v>
      </c>
      <c r="C110" s="12" t="s">
        <v>514</v>
      </c>
      <c r="D110" s="12" t="s">
        <v>298</v>
      </c>
      <c r="E110" s="13" t="s">
        <v>515</v>
      </c>
      <c r="F110" s="14" t="str">
        <f>INDEX('Woolworths Products'!$B$2:$B$208,MATCH($E110,'Woolworths Products'!$A$2:$A$208,0))</f>
        <v>Pumpkin Seeds 250 g</v>
      </c>
      <c r="G110" s="15">
        <v>35</v>
      </c>
      <c r="H110" s="14" t="str">
        <f>INDEX('Woolworths Products'!$G$2:$G$208,MATCH($E110,'Woolworths Products'!$A$2:$A$208,0))</f>
        <v>g</v>
      </c>
      <c r="I110" s="14">
        <f>INDEX('Woolworths Products'!$F$2:$F$208,MATCH($E110,'Woolworths Products'!$A$2:$A$208,0))</f>
        <v>250</v>
      </c>
      <c r="J110" s="14">
        <f>INDEX('Woolworths Products'!$E$2:$E$208,MATCH($E110,'Woolworths Products'!$A$2:$A$208,0))</f>
        <v>104.99</v>
      </c>
      <c r="K110" s="5">
        <f>IF(COUNTIFS($A$2:A110,A110,$E$2:E110,E110)=1,ROUNDUP(SUMIFS($G:$G,$A:$A,A110,$E:$E,E110)/I110,0),0)</f>
        <v>1</v>
      </c>
      <c r="L110" s="5">
        <f t="shared" si="12"/>
        <v>104.99</v>
      </c>
      <c r="M110" s="5">
        <f t="shared" si="13"/>
        <v>14.698600000000001</v>
      </c>
      <c r="N110" s="9"/>
    </row>
    <row r="111" spans="1:14" x14ac:dyDescent="0.2">
      <c r="A111" s="12" t="s">
        <v>29</v>
      </c>
      <c r="B111" s="12" t="s">
        <v>20</v>
      </c>
      <c r="C111" s="12" t="s">
        <v>516</v>
      </c>
      <c r="D111" s="12" t="s">
        <v>298</v>
      </c>
      <c r="E111" s="13" t="s">
        <v>347</v>
      </c>
      <c r="F111" s="14" t="str">
        <f>INDEX('Woolworths Products'!$B$2:$B$208,MATCH($E111,'Woolworths Products'!$A$2:$A$208,0))</f>
        <v>White Sesame Seeds 250 g</v>
      </c>
      <c r="G111" s="15">
        <v>70</v>
      </c>
      <c r="H111" s="14" t="str">
        <f>INDEX('Woolworths Products'!$G$2:$G$208,MATCH($E111,'Woolworths Products'!$A$2:$A$208,0))</f>
        <v>g</v>
      </c>
      <c r="I111" s="14">
        <f>INDEX('Woolworths Products'!$F$2:$F$208,MATCH($E111,'Woolworths Products'!$A$2:$A$208,0))</f>
        <v>250</v>
      </c>
      <c r="J111" s="14">
        <f>INDEX('Woolworths Products'!$E$2:$E$208,MATCH($E111,'Woolworths Products'!$A$2:$A$208,0))</f>
        <v>64.989999999999995</v>
      </c>
      <c r="K111" s="5">
        <f>IF(COUNTIFS($A$2:A111,A111,$E$2:E111,E111)=1,ROUNDUP(SUMIFS($G:$G,$A:$A,A111,$E:$E,E111)/I111,0),0)</f>
        <v>1</v>
      </c>
      <c r="L111" s="5">
        <f t="shared" si="12"/>
        <v>64.989999999999995</v>
      </c>
      <c r="M111" s="5">
        <f t="shared" si="13"/>
        <v>18.197199999999999</v>
      </c>
      <c r="N111" s="9"/>
    </row>
    <row r="112" spans="1:14" x14ac:dyDescent="0.2">
      <c r="A112" s="12" t="s">
        <v>29</v>
      </c>
      <c r="B112" s="12" t="s">
        <v>20</v>
      </c>
      <c r="C112" s="12" t="s">
        <v>517</v>
      </c>
      <c r="D112" s="12" t="s">
        <v>298</v>
      </c>
      <c r="E112" s="13" t="s">
        <v>518</v>
      </c>
      <c r="F112" s="14" t="str">
        <f>INDEX('Woolworths Products'!$B$2:$B$208,MATCH($E112,'Woolworths Products'!$A$2:$A$208,0))</f>
        <v>Chia Seeds 250 g</v>
      </c>
      <c r="G112" s="15">
        <v>40</v>
      </c>
      <c r="H112" s="14" t="str">
        <f>INDEX('Woolworths Products'!$G$2:$G$208,MATCH($E112,'Woolworths Products'!$A$2:$A$208,0))</f>
        <v>g</v>
      </c>
      <c r="I112" s="14">
        <f>INDEX('Woolworths Products'!$F$2:$F$208,MATCH($E112,'Woolworths Products'!$A$2:$A$208,0))</f>
        <v>250</v>
      </c>
      <c r="J112" s="14">
        <f>INDEX('Woolworths Products'!$E$2:$E$208,MATCH($E112,'Woolworths Products'!$A$2:$A$208,0))</f>
        <v>109.99</v>
      </c>
      <c r="K112" s="5">
        <f>IF(COUNTIFS($A$2:A112,A112,$E$2:E112,E112)=1,ROUNDUP(SUMIFS($G:$G,$A:$A,A112,$E:$E,E112)/I112,0),0)</f>
        <v>1</v>
      </c>
      <c r="L112" s="5">
        <f t="shared" si="12"/>
        <v>109.99</v>
      </c>
      <c r="M112" s="5">
        <f t="shared" si="13"/>
        <v>17.598399999999998</v>
      </c>
      <c r="N112" s="9"/>
    </row>
    <row r="113" spans="1:14" x14ac:dyDescent="0.2">
      <c r="A113" s="22" t="s">
        <v>29</v>
      </c>
      <c r="B113" s="22" t="s">
        <v>20</v>
      </c>
      <c r="C113" s="22" t="s">
        <v>519</v>
      </c>
      <c r="D113" s="22" t="s">
        <v>7</v>
      </c>
      <c r="E113" s="23"/>
      <c r="F113" s="24"/>
      <c r="G113" s="24"/>
      <c r="H113" s="24"/>
      <c r="I113" s="24"/>
      <c r="J113" s="24"/>
      <c r="K113" s="24"/>
      <c r="L113" s="25">
        <v>0</v>
      </c>
      <c r="M113" s="25">
        <v>0</v>
      </c>
      <c r="N113" s="26" t="s">
        <v>520</v>
      </c>
    </row>
    <row r="114" spans="1:14" x14ac:dyDescent="0.2">
      <c r="A114" s="13" t="s">
        <v>29</v>
      </c>
      <c r="B114" s="13" t="s">
        <v>20</v>
      </c>
      <c r="C114" s="13" t="s">
        <v>521</v>
      </c>
      <c r="D114" s="13" t="s">
        <v>349</v>
      </c>
      <c r="E114" s="13"/>
      <c r="L114" s="5">
        <v>0</v>
      </c>
      <c r="M114" s="5">
        <v>0</v>
      </c>
      <c r="N114" s="9" t="s">
        <v>522</v>
      </c>
    </row>
    <row r="115" spans="1:14" x14ac:dyDescent="0.2">
      <c r="A115" s="12" t="s">
        <v>29</v>
      </c>
      <c r="B115" s="12" t="s">
        <v>20</v>
      </c>
      <c r="C115" s="12" t="s">
        <v>523</v>
      </c>
      <c r="D115" s="12" t="s">
        <v>298</v>
      </c>
      <c r="E115" s="13" t="s">
        <v>524</v>
      </c>
      <c r="F115" s="14" t="str">
        <f>INDEX('Woolworths Products'!$B$2:$B$208,MATCH($E115,'Woolworths Products'!$A$2:$A$208,0))</f>
        <v>Bovril Meat And Vegetable Extract Spread 125 g</v>
      </c>
      <c r="G115" s="15">
        <v>7</v>
      </c>
      <c r="H115" s="14" t="str">
        <f>INDEX('Woolworths Products'!$G$2:$G$208,MATCH($E115,'Woolworths Products'!$A$2:$A$208,0))</f>
        <v>g</v>
      </c>
      <c r="I115" s="14">
        <f>INDEX('Woolworths Products'!$F$2:$F$208,MATCH($E115,'Woolworths Products'!$A$2:$A$208,0))</f>
        <v>125</v>
      </c>
      <c r="J115" s="14">
        <f>INDEX('Woolworths Products'!$E$2:$E$208,MATCH($E115,'Woolworths Products'!$A$2:$A$208,0))</f>
        <v>42.99</v>
      </c>
      <c r="K115" s="5">
        <f>IF(COUNTIFS($A$2:A115,A115,$E$2:E115,E115)=1,ROUNDUP(SUMIFS($G:$G,$A:$A,A115,$E:$E,E115)/I115,0),0)</f>
        <v>1</v>
      </c>
      <c r="L115" s="5">
        <f>K115*J115</f>
        <v>42.99</v>
      </c>
      <c r="M115" s="5">
        <f>G115/I115*J115</f>
        <v>2.4074400000000002</v>
      </c>
      <c r="N115" s="9"/>
    </row>
    <row r="116" spans="1:14" x14ac:dyDescent="0.2">
      <c r="A116" s="13" t="s">
        <v>29</v>
      </c>
      <c r="B116" s="13" t="s">
        <v>20</v>
      </c>
      <c r="C116" s="13" t="s">
        <v>348</v>
      </c>
      <c r="D116" s="13" t="s">
        <v>349</v>
      </c>
      <c r="E116" s="13"/>
      <c r="L116" s="5">
        <v>0</v>
      </c>
      <c r="M116" s="5">
        <v>0</v>
      </c>
      <c r="N116" s="9" t="s">
        <v>348</v>
      </c>
    </row>
    <row r="117" spans="1:14" x14ac:dyDescent="0.2">
      <c r="A117" s="12" t="s">
        <v>30</v>
      </c>
      <c r="B117" s="12" t="s">
        <v>11</v>
      </c>
      <c r="C117" s="12" t="s">
        <v>525</v>
      </c>
      <c r="D117" s="12" t="s">
        <v>298</v>
      </c>
      <c r="E117" s="13" t="s">
        <v>526</v>
      </c>
      <c r="F117" s="14" t="str">
        <f>INDEX('Woolworths Products'!$B$2:$B$208,MATCH($E117,'Woolworths Products'!$A$2:$A$208,0))</f>
        <v>Whole Wheat Fusilli 500 g</v>
      </c>
      <c r="G117" s="15">
        <v>250</v>
      </c>
      <c r="H117" s="14" t="str">
        <f>INDEX('Woolworths Products'!$G$2:$G$208,MATCH($E117,'Woolworths Products'!$A$2:$A$208,0))</f>
        <v>g</v>
      </c>
      <c r="I117" s="14">
        <f>INDEX('Woolworths Products'!$F$2:$F$208,MATCH($E117,'Woolworths Products'!$A$2:$A$208,0))</f>
        <v>500</v>
      </c>
      <c r="J117" s="14">
        <f>INDEX('Woolworths Products'!$E$2:$E$208,MATCH($E117,'Woolworths Products'!$A$2:$A$208,0))</f>
        <v>47.99</v>
      </c>
      <c r="K117" s="5">
        <f>IF(COUNTIFS($A$2:A117,A117,$E$2:E117,E117)=1,ROUNDUP(SUMIFS($G:$G,$A:$A,A117,$E:$E,E117)/I117,0),0)</f>
        <v>1</v>
      </c>
      <c r="L117" s="5">
        <f t="shared" ref="L117:L140" si="14">K117*J117</f>
        <v>47.99</v>
      </c>
      <c r="M117" s="5">
        <f t="shared" ref="M117:M140" si="15">G117/I117*J117</f>
        <v>23.995000000000001</v>
      </c>
      <c r="N117" s="9"/>
    </row>
    <row r="118" spans="1:14" x14ac:dyDescent="0.2">
      <c r="A118" s="12" t="s">
        <v>30</v>
      </c>
      <c r="B118" s="12" t="s">
        <v>11</v>
      </c>
      <c r="C118" s="12" t="s">
        <v>527</v>
      </c>
      <c r="D118" s="12" t="s">
        <v>298</v>
      </c>
      <c r="E118" s="13" t="s">
        <v>528</v>
      </c>
      <c r="F118" s="14" t="str">
        <f>INDEX('Woolworths Products'!$B$2:$B$208,MATCH($E118,'Woolworths Products'!$A$2:$A$208,0))</f>
        <v>Light Meat Tuna Shredded in Brine 170 g</v>
      </c>
      <c r="G118" s="15">
        <v>3</v>
      </c>
      <c r="H118" s="14" t="str">
        <f>INDEX('Woolworths Products'!$G$2:$G$208,MATCH($E118,'Woolworths Products'!$A$2:$A$208,0))</f>
        <v>ea</v>
      </c>
      <c r="I118" s="14">
        <f>INDEX('Woolworths Products'!$F$2:$F$208,MATCH($E118,'Woolworths Products'!$A$2:$A$208,0))</f>
        <v>1</v>
      </c>
      <c r="J118" s="14">
        <f>INDEX('Woolworths Products'!$E$2:$E$208,MATCH($E118,'Woolworths Products'!$A$2:$A$208,0))</f>
        <v>28.99</v>
      </c>
      <c r="K118" s="5">
        <f>IF(COUNTIFS($A$2:A118,A118,$E$2:E118,E118)=1,ROUNDUP(SUMIFS($G:$G,$A:$A,A118,$E:$E,E118)/I118,0),0)</f>
        <v>3</v>
      </c>
      <c r="L118" s="5">
        <f t="shared" si="14"/>
        <v>86.97</v>
      </c>
      <c r="M118" s="5">
        <f t="shared" si="15"/>
        <v>86.97</v>
      </c>
      <c r="N118" s="9"/>
    </row>
    <row r="119" spans="1:14" x14ac:dyDescent="0.2">
      <c r="A119" s="12" t="s">
        <v>30</v>
      </c>
      <c r="B119" s="12" t="s">
        <v>11</v>
      </c>
      <c r="C119" s="12" t="s">
        <v>529</v>
      </c>
      <c r="D119" s="12" t="s">
        <v>298</v>
      </c>
      <c r="E119" s="13" t="s">
        <v>530</v>
      </c>
      <c r="F119" s="14" t="str">
        <f>INDEX('Woolworths Products'!$B$2:$B$208,MATCH($E119,'Woolworths Products'!$A$2:$A$208,0))</f>
        <v>Frozen Petits Pois Peas 500 g</v>
      </c>
      <c r="G119" s="15">
        <v>140</v>
      </c>
      <c r="H119" s="14" t="str">
        <f>INDEX('Woolworths Products'!$G$2:$G$208,MATCH($E119,'Woolworths Products'!$A$2:$A$208,0))</f>
        <v>g</v>
      </c>
      <c r="I119" s="14">
        <f>INDEX('Woolworths Products'!$F$2:$F$208,MATCH($E119,'Woolworths Products'!$A$2:$A$208,0))</f>
        <v>500</v>
      </c>
      <c r="J119" s="14">
        <f>INDEX('Woolworths Products'!$E$2:$E$208,MATCH($E119,'Woolworths Products'!$A$2:$A$208,0))</f>
        <v>49.99</v>
      </c>
      <c r="K119" s="5">
        <f>IF(COUNTIFS($A$2:A119,A119,$E$2:E119,E119)=1,ROUNDUP(SUMIFS($G:$G,$A:$A,A119,$E:$E,E119)/I119,0),0)</f>
        <v>1</v>
      </c>
      <c r="L119" s="5">
        <f t="shared" si="14"/>
        <v>49.99</v>
      </c>
      <c r="M119" s="5">
        <f t="shared" si="15"/>
        <v>13.997200000000001</v>
      </c>
      <c r="N119" s="9" t="s">
        <v>531</v>
      </c>
    </row>
    <row r="120" spans="1:14" x14ac:dyDescent="0.2">
      <c r="A120" s="16" t="s">
        <v>30</v>
      </c>
      <c r="B120" s="16" t="s">
        <v>11</v>
      </c>
      <c r="C120" s="16" t="s">
        <v>532</v>
      </c>
      <c r="D120" s="16" t="s">
        <v>298</v>
      </c>
      <c r="E120" s="17" t="s">
        <v>506</v>
      </c>
      <c r="F120" s="18" t="str">
        <f>INDEX('Woolworths Products'!$B$2:$B$208,MATCH($E120,'Woolworths Products'!$A$2:$A$208,0))</f>
        <v>Tomato Soup 400 g</v>
      </c>
      <c r="G120" s="19">
        <v>1</v>
      </c>
      <c r="H120" s="18" t="str">
        <f>INDEX('Woolworths Products'!$G$2:$G$208,MATCH($E120,'Woolworths Products'!$A$2:$A$208,0))</f>
        <v>ea</v>
      </c>
      <c r="I120" s="18">
        <f>INDEX('Woolworths Products'!$F$2:$F$208,MATCH($E120,'Woolworths Products'!$A$2:$A$208,0))</f>
        <v>1</v>
      </c>
      <c r="J120" s="18">
        <f>INDEX('Woolworths Products'!$E$2:$E$208,MATCH($E120,'Woolworths Products'!$A$2:$A$208,0))</f>
        <v>37.99</v>
      </c>
      <c r="K120" s="20">
        <f>IF(COUNTIFS($A$2:A120,A120,$E$2:E120,E120)=1,ROUNDUP(SUMIFS($G:$G,$A:$A,A120,$E:$E,E120)/I120,0),0)</f>
        <v>1</v>
      </c>
      <c r="L120" s="20">
        <f t="shared" si="14"/>
        <v>37.99</v>
      </c>
      <c r="M120" s="20">
        <f t="shared" si="15"/>
        <v>37.99</v>
      </c>
      <c r="N120" s="21" t="s">
        <v>507</v>
      </c>
    </row>
    <row r="121" spans="1:14" x14ac:dyDescent="0.2">
      <c r="A121" s="16" t="s">
        <v>30</v>
      </c>
      <c r="B121" s="16" t="s">
        <v>11</v>
      </c>
      <c r="C121" s="16" t="s">
        <v>508</v>
      </c>
      <c r="D121" s="16" t="s">
        <v>298</v>
      </c>
      <c r="E121" s="17" t="s">
        <v>509</v>
      </c>
      <c r="F121" s="18" t="str">
        <f>INDEX('Woolworths Products'!$B$2:$B$208,MATCH($E121,'Woolworths Products'!$A$2:$A$208,0))</f>
        <v>Grated Mature Cheddar Cheese 250 g</v>
      </c>
      <c r="G121" s="19">
        <v>100</v>
      </c>
      <c r="H121" s="18" t="str">
        <f>INDEX('Woolworths Products'!$G$2:$G$208,MATCH($E121,'Woolworths Products'!$A$2:$A$208,0))</f>
        <v>g</v>
      </c>
      <c r="I121" s="18">
        <f>INDEX('Woolworths Products'!$F$2:$F$208,MATCH($E121,'Woolworths Products'!$A$2:$A$208,0))</f>
        <v>250</v>
      </c>
      <c r="J121" s="18">
        <f>INDEX('Woolworths Products'!$E$2:$E$208,MATCH($E121,'Woolworths Products'!$A$2:$A$208,0))</f>
        <v>74.989999999999995</v>
      </c>
      <c r="K121" s="20">
        <f>IF(COUNTIFS($A$2:A121,A121,$E$2:E121,E121)=1,ROUNDUP(SUMIFS($G:$G,$A:$A,A121,$E:$E,E121)/I121,0),0)</f>
        <v>1</v>
      </c>
      <c r="L121" s="20">
        <f t="shared" si="14"/>
        <v>74.989999999999995</v>
      </c>
      <c r="M121" s="20">
        <f t="shared" si="15"/>
        <v>29.995999999999999</v>
      </c>
      <c r="N121" s="21" t="s">
        <v>510</v>
      </c>
    </row>
    <row r="122" spans="1:14" x14ac:dyDescent="0.2">
      <c r="A122" s="16" t="s">
        <v>30</v>
      </c>
      <c r="B122" s="16" t="s">
        <v>11</v>
      </c>
      <c r="C122" s="16" t="s">
        <v>533</v>
      </c>
      <c r="D122" s="16" t="s">
        <v>298</v>
      </c>
      <c r="E122" s="17" t="s">
        <v>486</v>
      </c>
      <c r="F122" s="18" t="str">
        <f>INDEX('Woolworths Products'!$B$2:$B$208,MATCH($E122,'Woolworths Products'!$A$2:$A$208,0))</f>
        <v>Fresh Basil 30 g</v>
      </c>
      <c r="G122" s="19">
        <v>0.5</v>
      </c>
      <c r="H122" s="18" t="str">
        <f>INDEX('Woolworths Products'!$G$2:$G$208,MATCH($E122,'Woolworths Products'!$A$2:$A$208,0))</f>
        <v>punnet</v>
      </c>
      <c r="I122" s="18">
        <f>INDEX('Woolworths Products'!$F$2:$F$208,MATCH($E122,'Woolworths Products'!$A$2:$A$208,0))</f>
        <v>1</v>
      </c>
      <c r="J122" s="18">
        <f>INDEX('Woolworths Products'!$E$2:$E$208,MATCH($E122,'Woolworths Products'!$A$2:$A$208,0))</f>
        <v>15.99</v>
      </c>
      <c r="K122" s="20">
        <f>IF(COUNTIFS($A$2:A122,A122,$E$2:E122,E122)=1,ROUNDUP(SUMIFS($G:$G,$A:$A,A122,$E:$E,E122)/I122,0),0)</f>
        <v>1</v>
      </c>
      <c r="L122" s="20">
        <f t="shared" si="14"/>
        <v>15.99</v>
      </c>
      <c r="M122" s="20">
        <f t="shared" si="15"/>
        <v>7.9950000000000001</v>
      </c>
      <c r="N122" s="21" t="s">
        <v>425</v>
      </c>
    </row>
    <row r="123" spans="1:14" x14ac:dyDescent="0.2">
      <c r="A123" s="12" t="s">
        <v>31</v>
      </c>
      <c r="B123" s="12" t="s">
        <v>11</v>
      </c>
      <c r="C123" s="12" t="s">
        <v>534</v>
      </c>
      <c r="D123" s="12" t="s">
        <v>298</v>
      </c>
      <c r="E123" s="13" t="s">
        <v>431</v>
      </c>
      <c r="F123" s="14" t="str">
        <f>INDEX('Woolworths Products'!$B$2:$B$208,MATCH($E123,'Woolworths Products'!$A$2:$A$208,0))</f>
        <v>Pork Fillet Avg 400 g</v>
      </c>
      <c r="G123" s="15">
        <v>1.5</v>
      </c>
      <c r="H123" s="14" t="str">
        <f>INDEX('Woolworths Products'!$G$2:$G$208,MATCH($E123,'Woolworths Products'!$A$2:$A$208,0))</f>
        <v>ea</v>
      </c>
      <c r="I123" s="14">
        <f>INDEX('Woolworths Products'!$F$2:$F$208,MATCH($E123,'Woolworths Products'!$A$2:$A$208,0))</f>
        <v>1</v>
      </c>
      <c r="J123" s="14">
        <f>INDEX('Woolworths Products'!$E$2:$E$208,MATCH($E123,'Woolworths Products'!$A$2:$A$208,0))</f>
        <v>65</v>
      </c>
      <c r="K123" s="5">
        <f>IF(COUNTIFS($A$2:A123,A123,$E$2:E123,E123)=1,ROUNDUP(SUMIFS($G:$G,$A:$A,A123,$E:$E,E123)/I123,0),0)</f>
        <v>2</v>
      </c>
      <c r="L123" s="5">
        <f t="shared" si="14"/>
        <v>130</v>
      </c>
      <c r="M123" s="5">
        <f t="shared" si="15"/>
        <v>97.5</v>
      </c>
      <c r="N123" s="9" t="s">
        <v>535</v>
      </c>
    </row>
    <row r="124" spans="1:14" x14ac:dyDescent="0.2">
      <c r="A124" s="12" t="s">
        <v>31</v>
      </c>
      <c r="B124" s="12" t="s">
        <v>11</v>
      </c>
      <c r="C124" s="12" t="s">
        <v>536</v>
      </c>
      <c r="D124" s="12" t="s">
        <v>298</v>
      </c>
      <c r="E124" s="13" t="s">
        <v>428</v>
      </c>
      <c r="F124" s="14" t="str">
        <f>INDEX('Woolworths Products'!$B$2:$B$208,MATCH($E124,'Woolworths Products'!$A$2:$A$208,0))</f>
        <v>Asian Hoisin Sauce 150 ml</v>
      </c>
      <c r="G124" s="15">
        <v>75</v>
      </c>
      <c r="H124" s="14" t="str">
        <f>INDEX('Woolworths Products'!$G$2:$G$208,MATCH($E124,'Woolworths Products'!$A$2:$A$208,0))</f>
        <v>ml</v>
      </c>
      <c r="I124" s="14">
        <f>INDEX('Woolworths Products'!$F$2:$F$208,MATCH($E124,'Woolworths Products'!$A$2:$A$208,0))</f>
        <v>150</v>
      </c>
      <c r="J124" s="14">
        <f>INDEX('Woolworths Products'!$E$2:$E$208,MATCH($E124,'Woolworths Products'!$A$2:$A$208,0))</f>
        <v>51.99</v>
      </c>
      <c r="K124" s="5">
        <f>IF(COUNTIFS($A$2:A124,A124,$E$2:E124,E124)=1,ROUNDUP(SUMIFS($G:$G,$A:$A,A124,$E:$E,E124)/I124,0),0)</f>
        <v>1</v>
      </c>
      <c r="L124" s="5">
        <f t="shared" si="14"/>
        <v>51.99</v>
      </c>
      <c r="M124" s="5">
        <f t="shared" si="15"/>
        <v>25.995000000000001</v>
      </c>
      <c r="N124" s="9"/>
    </row>
    <row r="125" spans="1:14" x14ac:dyDescent="0.2">
      <c r="A125" s="16" t="s">
        <v>31</v>
      </c>
      <c r="B125" s="16" t="s">
        <v>11</v>
      </c>
      <c r="C125" s="16" t="s">
        <v>537</v>
      </c>
      <c r="D125" s="16" t="s">
        <v>298</v>
      </c>
      <c r="E125" s="17" t="s">
        <v>538</v>
      </c>
      <c r="F125" s="18" t="str">
        <f>INDEX('Woolworths Products'!$B$2:$B$208,MATCH($E125,'Woolworths Products'!$A$2:$A$208,0))</f>
        <v>Fully Cooked Coconut Jasmine Rice 250 g</v>
      </c>
      <c r="G125" s="19">
        <v>2</v>
      </c>
      <c r="H125" s="18" t="str">
        <f>INDEX('Woolworths Products'!$G$2:$G$208,MATCH($E125,'Woolworths Products'!$A$2:$A$208,0))</f>
        <v>ea</v>
      </c>
      <c r="I125" s="18">
        <f>INDEX('Woolworths Products'!$F$2:$F$208,MATCH($E125,'Woolworths Products'!$A$2:$A$208,0))</f>
        <v>1</v>
      </c>
      <c r="J125" s="18">
        <f>INDEX('Woolworths Products'!$E$2:$E$208,MATCH($E125,'Woolworths Products'!$A$2:$A$208,0))</f>
        <v>44.99</v>
      </c>
      <c r="K125" s="20">
        <f>IF(COUNTIFS($A$2:A125,A125,$E$2:E125,E125)=1,ROUNDUP(SUMIFS($G:$G,$A:$A,A125,$E:$E,E125)/I125,0),0)</f>
        <v>2</v>
      </c>
      <c r="L125" s="20">
        <f t="shared" si="14"/>
        <v>89.98</v>
      </c>
      <c r="M125" s="20">
        <f t="shared" si="15"/>
        <v>89.98</v>
      </c>
      <c r="N125" s="21" t="s">
        <v>539</v>
      </c>
    </row>
    <row r="126" spans="1:14" x14ac:dyDescent="0.2">
      <c r="A126" s="12" t="s">
        <v>31</v>
      </c>
      <c r="B126" s="12" t="s">
        <v>11</v>
      </c>
      <c r="C126" s="12" t="s">
        <v>540</v>
      </c>
      <c r="D126" s="12" t="s">
        <v>298</v>
      </c>
      <c r="E126" s="13" t="s">
        <v>541</v>
      </c>
      <c r="F126" s="14" t="str">
        <f>INDEX('Woolworths Products'!$B$2:$B$208,MATCH($E126,'Woolworths Products'!$A$2:$A$208,0))</f>
        <v>Burger Slaw 250 g</v>
      </c>
      <c r="G126" s="15">
        <v>1</v>
      </c>
      <c r="H126" s="14" t="str">
        <f>INDEX('Woolworths Products'!$G$2:$G$208,MATCH($E126,'Woolworths Products'!$A$2:$A$208,0))</f>
        <v>ea</v>
      </c>
      <c r="I126" s="14">
        <f>INDEX('Woolworths Products'!$F$2:$F$208,MATCH($E126,'Woolworths Products'!$A$2:$A$208,0))</f>
        <v>1</v>
      </c>
      <c r="J126" s="14">
        <f>INDEX('Woolworths Products'!$E$2:$E$208,MATCH($E126,'Woolworths Products'!$A$2:$A$208,0))</f>
        <v>24.99</v>
      </c>
      <c r="K126" s="5">
        <f>IF(COUNTIFS($A$2:A126,A126,$E$2:E126,E126)=1,ROUNDUP(SUMIFS($G:$G,$A:$A,A126,$E:$E,E126)/I126,0),0)</f>
        <v>1</v>
      </c>
      <c r="L126" s="5">
        <f t="shared" si="14"/>
        <v>24.99</v>
      </c>
      <c r="M126" s="5">
        <f t="shared" si="15"/>
        <v>24.99</v>
      </c>
      <c r="N126" s="9"/>
    </row>
    <row r="127" spans="1:14" x14ac:dyDescent="0.2">
      <c r="A127" s="16" t="s">
        <v>31</v>
      </c>
      <c r="B127" s="16" t="s">
        <v>11</v>
      </c>
      <c r="C127" s="16" t="s">
        <v>542</v>
      </c>
      <c r="D127" s="16" t="s">
        <v>298</v>
      </c>
      <c r="E127" s="17" t="s">
        <v>443</v>
      </c>
      <c r="F127" s="18" t="str">
        <f>INDEX('Woolworths Products'!$B$2:$B$208,MATCH($E127,'Woolworths Products'!$A$2:$A$208,0))</f>
        <v>Spring Onions 100 g</v>
      </c>
      <c r="G127" s="19">
        <v>1</v>
      </c>
      <c r="H127" s="18" t="str">
        <f>INDEX('Woolworths Products'!$G$2:$G$208,MATCH($E127,'Woolworths Products'!$A$2:$A$208,0))</f>
        <v>bunch</v>
      </c>
      <c r="I127" s="18">
        <f>INDEX('Woolworths Products'!$F$2:$F$208,MATCH($E127,'Woolworths Products'!$A$2:$A$208,0))</f>
        <v>1</v>
      </c>
      <c r="J127" s="18">
        <f>INDEX('Woolworths Products'!$E$2:$E$208,MATCH($E127,'Woolworths Products'!$A$2:$A$208,0))</f>
        <v>24.99</v>
      </c>
      <c r="K127" s="20">
        <f>IF(COUNTIFS($A$2:A127,A127,$E$2:E127,E127)=1,ROUNDUP(SUMIFS($G:$G,$A:$A,A127,$E:$E,E127)/I127,0),0)</f>
        <v>1</v>
      </c>
      <c r="L127" s="20">
        <f t="shared" si="14"/>
        <v>24.99</v>
      </c>
      <c r="M127" s="20">
        <f t="shared" si="15"/>
        <v>24.99</v>
      </c>
      <c r="N127" s="21" t="s">
        <v>543</v>
      </c>
    </row>
    <row r="128" spans="1:14" x14ac:dyDescent="0.2">
      <c r="A128" s="16" t="s">
        <v>31</v>
      </c>
      <c r="B128" s="16" t="s">
        <v>11</v>
      </c>
      <c r="C128" s="16" t="s">
        <v>544</v>
      </c>
      <c r="D128" s="16" t="s">
        <v>298</v>
      </c>
      <c r="E128" s="17" t="s">
        <v>545</v>
      </c>
      <c r="F128" s="18" t="str">
        <f>INDEX('Woolworths Products'!$B$2:$B$208,MATCH($E128,'Woolworths Products'!$A$2:$A$208,0))</f>
        <v>Asian Sliced Ginger 120 g</v>
      </c>
      <c r="G128" s="19">
        <v>30</v>
      </c>
      <c r="H128" s="18" t="str">
        <f>INDEX('Woolworths Products'!$G$2:$G$208,MATCH($E128,'Woolworths Products'!$A$2:$A$208,0))</f>
        <v>g</v>
      </c>
      <c r="I128" s="18">
        <f>INDEX('Woolworths Products'!$F$2:$F$208,MATCH($E128,'Woolworths Products'!$A$2:$A$208,0))</f>
        <v>120</v>
      </c>
      <c r="J128" s="18">
        <f>INDEX('Woolworths Products'!$E$2:$E$208,MATCH($E128,'Woolworths Products'!$A$2:$A$208,0))</f>
        <v>64.989999999999995</v>
      </c>
      <c r="K128" s="20">
        <f>IF(COUNTIFS($A$2:A128,A128,$E$2:E128,E128)=1,ROUNDUP(SUMIFS($G:$G,$A:$A,A128,$E:$E,E128)/I128,0),0)</f>
        <v>1</v>
      </c>
      <c r="L128" s="20">
        <f t="shared" si="14"/>
        <v>64.989999999999995</v>
      </c>
      <c r="M128" s="20">
        <f t="shared" si="15"/>
        <v>16.247499999999999</v>
      </c>
      <c r="N128" s="21" t="s">
        <v>546</v>
      </c>
    </row>
    <row r="129" spans="1:14" x14ac:dyDescent="0.2">
      <c r="A129" s="16" t="s">
        <v>31</v>
      </c>
      <c r="B129" s="16" t="s">
        <v>11</v>
      </c>
      <c r="C129" s="16" t="s">
        <v>547</v>
      </c>
      <c r="D129" s="16" t="s">
        <v>298</v>
      </c>
      <c r="E129" s="17" t="s">
        <v>347</v>
      </c>
      <c r="F129" s="18" t="str">
        <f>INDEX('Woolworths Products'!$B$2:$B$208,MATCH($E129,'Woolworths Products'!$A$2:$A$208,0))</f>
        <v>White Sesame Seeds 250 g</v>
      </c>
      <c r="G129" s="19">
        <v>9</v>
      </c>
      <c r="H129" s="18" t="str">
        <f>INDEX('Woolworths Products'!$G$2:$G$208,MATCH($E129,'Woolworths Products'!$A$2:$A$208,0))</f>
        <v>g</v>
      </c>
      <c r="I129" s="18">
        <f>INDEX('Woolworths Products'!$F$2:$F$208,MATCH($E129,'Woolworths Products'!$A$2:$A$208,0))</f>
        <v>250</v>
      </c>
      <c r="J129" s="18">
        <f>INDEX('Woolworths Products'!$E$2:$E$208,MATCH($E129,'Woolworths Products'!$A$2:$A$208,0))</f>
        <v>64.989999999999995</v>
      </c>
      <c r="K129" s="20">
        <f>IF(COUNTIFS($A$2:A129,A129,$E$2:E129,E129)=1,ROUNDUP(SUMIFS($G:$G,$A:$A,A129,$E:$E,E129)/I129,0),0)</f>
        <v>1</v>
      </c>
      <c r="L129" s="20">
        <f t="shared" si="14"/>
        <v>64.989999999999995</v>
      </c>
      <c r="M129" s="20">
        <f t="shared" si="15"/>
        <v>2.3396399999999997</v>
      </c>
      <c r="N129" s="21" t="s">
        <v>326</v>
      </c>
    </row>
    <row r="130" spans="1:14" x14ac:dyDescent="0.2">
      <c r="A130" s="16" t="s">
        <v>31</v>
      </c>
      <c r="B130" s="16" t="s">
        <v>11</v>
      </c>
      <c r="C130" s="16" t="s">
        <v>548</v>
      </c>
      <c r="D130" s="16" t="s">
        <v>298</v>
      </c>
      <c r="E130" s="17" t="s">
        <v>445</v>
      </c>
      <c r="F130" s="18" t="str">
        <f>INDEX('Woolworths Products'!$B$2:$B$208,MATCH($E130,'Woolworths Products'!$A$2:$A$208,0))</f>
        <v>Shelled Edamame Legumes 110 g</v>
      </c>
      <c r="G130" s="19">
        <v>110</v>
      </c>
      <c r="H130" s="18" t="str">
        <f>INDEX('Woolworths Products'!$G$2:$G$208,MATCH($E130,'Woolworths Products'!$A$2:$A$208,0))</f>
        <v>g</v>
      </c>
      <c r="I130" s="18">
        <f>INDEX('Woolworths Products'!$F$2:$F$208,MATCH($E130,'Woolworths Products'!$A$2:$A$208,0))</f>
        <v>110</v>
      </c>
      <c r="J130" s="18">
        <f>INDEX('Woolworths Products'!$E$2:$E$208,MATCH($E130,'Woolworths Products'!$A$2:$A$208,0))</f>
        <v>54.99</v>
      </c>
      <c r="K130" s="20">
        <f>IF(COUNTIFS($A$2:A130,A130,$E$2:E130,E130)=1,ROUNDUP(SUMIFS($G:$G,$A:$A,A130,$E:$E,E130)/I130,0),0)</f>
        <v>1</v>
      </c>
      <c r="L130" s="20">
        <f t="shared" si="14"/>
        <v>54.99</v>
      </c>
      <c r="M130" s="20">
        <f t="shared" si="15"/>
        <v>54.99</v>
      </c>
      <c r="N130" s="21" t="s">
        <v>549</v>
      </c>
    </row>
    <row r="131" spans="1:14" x14ac:dyDescent="0.2">
      <c r="A131" s="16" t="s">
        <v>31</v>
      </c>
      <c r="B131" s="16" t="s">
        <v>11</v>
      </c>
      <c r="C131" s="16" t="s">
        <v>550</v>
      </c>
      <c r="D131" s="16" t="s">
        <v>298</v>
      </c>
      <c r="E131" s="17" t="s">
        <v>551</v>
      </c>
      <c r="F131" s="18" t="str">
        <f>INDEX('Woolworths Products'!$B$2:$B$208,MATCH($E131,'Woolworths Products'!$A$2:$A$208,0))</f>
        <v>Wasabi-O Wasabi Paste 43 g</v>
      </c>
      <c r="G131" s="19">
        <v>5</v>
      </c>
      <c r="H131" s="18" t="str">
        <f>INDEX('Woolworths Products'!$G$2:$G$208,MATCH($E131,'Woolworths Products'!$A$2:$A$208,0))</f>
        <v>g</v>
      </c>
      <c r="I131" s="18">
        <f>INDEX('Woolworths Products'!$F$2:$F$208,MATCH($E131,'Woolworths Products'!$A$2:$A$208,0))</f>
        <v>43</v>
      </c>
      <c r="J131" s="18">
        <f>INDEX('Woolworths Products'!$E$2:$E$208,MATCH($E131,'Woolworths Products'!$A$2:$A$208,0))</f>
        <v>86.99</v>
      </c>
      <c r="K131" s="20">
        <f>IF(COUNTIFS($A$2:A131,A131,$E$2:E131,E131)=1,ROUNDUP(SUMIFS($G:$G,$A:$A,A131,$E:$E,E131)/I131,0),0)</f>
        <v>1</v>
      </c>
      <c r="L131" s="20">
        <f t="shared" si="14"/>
        <v>86.99</v>
      </c>
      <c r="M131" s="20">
        <f t="shared" si="15"/>
        <v>10.115116279069767</v>
      </c>
      <c r="N131" s="21" t="s">
        <v>416</v>
      </c>
    </row>
    <row r="132" spans="1:14" x14ac:dyDescent="0.2">
      <c r="A132" s="12" t="s">
        <v>32</v>
      </c>
      <c r="B132" s="12" t="s">
        <v>11</v>
      </c>
      <c r="C132" s="12" t="s">
        <v>552</v>
      </c>
      <c r="D132" s="12" t="s">
        <v>298</v>
      </c>
      <c r="E132" s="13" t="s">
        <v>553</v>
      </c>
      <c r="F132" s="14" t="str">
        <f>INDEX('Woolworths Products'!$B$2:$B$208,MATCH($E132,'Woolworths Products'!$A$2:$A$208,0))</f>
        <v>Beef Shin Avg 600 g</v>
      </c>
      <c r="G132" s="15">
        <v>1800</v>
      </c>
      <c r="H132" s="14" t="str">
        <f>INDEX('Woolworths Products'!$G$2:$G$208,MATCH($E132,'Woolworths Products'!$A$2:$A$208,0))</f>
        <v>g</v>
      </c>
      <c r="I132" s="14">
        <f>INDEX('Woolworths Products'!$F$2:$F$208,MATCH($E132,'Woolworths Products'!$A$2:$A$208,0))</f>
        <v>600</v>
      </c>
      <c r="J132" s="14">
        <f>INDEX('Woolworths Products'!$E$2:$E$208,MATCH($E132,'Woolworths Products'!$A$2:$A$208,0))</f>
        <v>107.99</v>
      </c>
      <c r="K132" s="5">
        <f>IF(COUNTIFS($A$2:A132,A132,$E$2:E132,E132)=1,ROUNDUP(SUMIFS($G:$G,$A:$A,A132,$E:$E,E132)/I132,0),0)</f>
        <v>3</v>
      </c>
      <c r="L132" s="5">
        <f t="shared" si="14"/>
        <v>323.96999999999997</v>
      </c>
      <c r="M132" s="5">
        <f t="shared" si="15"/>
        <v>323.96999999999997</v>
      </c>
      <c r="N132" s="9" t="s">
        <v>554</v>
      </c>
    </row>
    <row r="133" spans="1:14" x14ac:dyDescent="0.2">
      <c r="A133" s="16" t="s">
        <v>32</v>
      </c>
      <c r="B133" s="16" t="s">
        <v>11</v>
      </c>
      <c r="C133" s="16" t="s">
        <v>555</v>
      </c>
      <c r="D133" s="16" t="s">
        <v>298</v>
      </c>
      <c r="E133" s="17" t="s">
        <v>353</v>
      </c>
      <c r="F133" s="18" t="str">
        <f>INDEX('Woolworths Products'!$B$2:$B$208,MATCH($E133,'Woolworths Products'!$A$2:$A$208,0))</f>
        <v>Cake Wheat Flour 1 kg</v>
      </c>
      <c r="G133" s="19">
        <v>30</v>
      </c>
      <c r="H133" s="18" t="str">
        <f>INDEX('Woolworths Products'!$G$2:$G$208,MATCH($E133,'Woolworths Products'!$A$2:$A$208,0))</f>
        <v>g</v>
      </c>
      <c r="I133" s="18">
        <f>INDEX('Woolworths Products'!$F$2:$F$208,MATCH($E133,'Woolworths Products'!$A$2:$A$208,0))</f>
        <v>1000</v>
      </c>
      <c r="J133" s="18">
        <f>INDEX('Woolworths Products'!$E$2:$E$208,MATCH($E133,'Woolworths Products'!$A$2:$A$208,0))</f>
        <v>21.99</v>
      </c>
      <c r="K133" s="20">
        <f>IF(COUNTIFS($A$2:A133,A133,$E$2:E133,E133)=1,ROUNDUP(SUMIFS($G:$G,$A:$A,A133,$E:$E,E133)/I133,0),0)</f>
        <v>1</v>
      </c>
      <c r="L133" s="20">
        <f t="shared" si="14"/>
        <v>21.99</v>
      </c>
      <c r="M133" s="20">
        <f t="shared" si="15"/>
        <v>0.65969999999999995</v>
      </c>
      <c r="N133" s="21" t="s">
        <v>556</v>
      </c>
    </row>
    <row r="134" spans="1:14" x14ac:dyDescent="0.2">
      <c r="A134" s="12" t="s">
        <v>32</v>
      </c>
      <c r="B134" s="12" t="s">
        <v>11</v>
      </c>
      <c r="C134" s="12" t="s">
        <v>557</v>
      </c>
      <c r="D134" s="12" t="s">
        <v>298</v>
      </c>
      <c r="E134" s="13" t="s">
        <v>304</v>
      </c>
      <c r="F134" s="14" t="str">
        <f>INDEX('Woolworths Products'!$B$2:$B$208,MATCH($E134,'Woolworths Products'!$A$2:$A$208,0))</f>
        <v>Medium Carrots 500 g</v>
      </c>
      <c r="G134" s="15">
        <v>160</v>
      </c>
      <c r="H134" s="14" t="str">
        <f>INDEX('Woolworths Products'!$G$2:$G$208,MATCH($E134,'Woolworths Products'!$A$2:$A$208,0))</f>
        <v>g</v>
      </c>
      <c r="I134" s="14">
        <f>INDEX('Woolworths Products'!$F$2:$F$208,MATCH($E134,'Woolworths Products'!$A$2:$A$208,0))</f>
        <v>500</v>
      </c>
      <c r="J134" s="14">
        <f>INDEX('Woolworths Products'!$E$2:$E$208,MATCH($E134,'Woolworths Products'!$A$2:$A$208,0))</f>
        <v>14.99</v>
      </c>
      <c r="K134" s="5">
        <f>IF(COUNTIFS($A$2:A134,A134,$E$2:E134,E134)=1,ROUNDUP(SUMIFS($G:$G,$A:$A,A134,$E:$E,E134)/I134,0),0)</f>
        <v>1</v>
      </c>
      <c r="L134" s="5">
        <f t="shared" si="14"/>
        <v>14.99</v>
      </c>
      <c r="M134" s="5">
        <f t="shared" si="15"/>
        <v>4.7968000000000002</v>
      </c>
      <c r="N134" s="9"/>
    </row>
    <row r="135" spans="1:14" x14ac:dyDescent="0.2">
      <c r="A135" s="12" t="s">
        <v>32</v>
      </c>
      <c r="B135" s="12" t="s">
        <v>11</v>
      </c>
      <c r="C135" s="12" t="s">
        <v>558</v>
      </c>
      <c r="D135" s="12" t="s">
        <v>298</v>
      </c>
      <c r="E135" s="13" t="s">
        <v>343</v>
      </c>
      <c r="F135" s="14" t="str">
        <f>INDEX('Woolworths Products'!$B$2:$B$208,MATCH($E135,'Woolworths Products'!$A$2:$A$208,0))</f>
        <v>Brown Onions 1 kg</v>
      </c>
      <c r="G135" s="15">
        <v>300</v>
      </c>
      <c r="H135" s="14" t="str">
        <f>INDEX('Woolworths Products'!$G$2:$G$208,MATCH($E135,'Woolworths Products'!$A$2:$A$208,0))</f>
        <v>g</v>
      </c>
      <c r="I135" s="14">
        <f>INDEX('Woolworths Products'!$F$2:$F$208,MATCH($E135,'Woolworths Products'!$A$2:$A$208,0))</f>
        <v>1000</v>
      </c>
      <c r="J135" s="14">
        <f>INDEX('Woolworths Products'!$E$2:$E$208,MATCH($E135,'Woolworths Products'!$A$2:$A$208,0))</f>
        <v>39.9</v>
      </c>
      <c r="K135" s="5">
        <f>IF(COUNTIFS($A$2:A135,A135,$E$2:E135,E135)=1,ROUNDUP(SUMIFS($G:$G,$A:$A,A135,$E:$E,E135)/I135,0),0)</f>
        <v>1</v>
      </c>
      <c r="L135" s="5">
        <f t="shared" si="14"/>
        <v>39.9</v>
      </c>
      <c r="M135" s="5">
        <f t="shared" si="15"/>
        <v>11.969999999999999</v>
      </c>
      <c r="N135" s="9" t="s">
        <v>344</v>
      </c>
    </row>
    <row r="136" spans="1:14" x14ac:dyDescent="0.2">
      <c r="A136" s="12" t="s">
        <v>32</v>
      </c>
      <c r="B136" s="12" t="s">
        <v>11</v>
      </c>
      <c r="C136" s="12" t="s">
        <v>559</v>
      </c>
      <c r="D136" s="12" t="s">
        <v>298</v>
      </c>
      <c r="E136" s="13" t="s">
        <v>560</v>
      </c>
      <c r="F136" s="14" t="str">
        <f>INDEX('Woolworths Products'!$B$2:$B$208,MATCH($E136,'Woolworths Products'!$A$2:$A$208,0))</f>
        <v>Celery</v>
      </c>
      <c r="G136" s="15">
        <v>2</v>
      </c>
      <c r="H136" s="14" t="str">
        <f>INDEX('Woolworths Products'!$G$2:$G$208,MATCH($E136,'Woolworths Products'!$A$2:$A$208,0))</f>
        <v>stick</v>
      </c>
      <c r="I136" s="14">
        <f>INDEX('Woolworths Products'!$F$2:$F$208,MATCH($E136,'Woolworths Products'!$A$2:$A$208,0))</f>
        <v>10</v>
      </c>
      <c r="J136" s="14">
        <f>INDEX('Woolworths Products'!$E$2:$E$208,MATCH($E136,'Woolworths Products'!$A$2:$A$208,0))</f>
        <v>28.99</v>
      </c>
      <c r="K136" s="5">
        <f>IF(COUNTIFS($A$2:A136,A136,$E$2:E136,E136)=1,ROUNDUP(SUMIFS($G:$G,$A:$A,A136,$E:$E,E136)/I136,0),0)</f>
        <v>1</v>
      </c>
      <c r="L136" s="5">
        <f t="shared" si="14"/>
        <v>28.99</v>
      </c>
      <c r="M136" s="5">
        <f t="shared" si="15"/>
        <v>5.798</v>
      </c>
      <c r="N136" s="9" t="s">
        <v>561</v>
      </c>
    </row>
    <row r="137" spans="1:14" x14ac:dyDescent="0.2">
      <c r="A137" s="12" t="s">
        <v>32</v>
      </c>
      <c r="B137" s="12" t="s">
        <v>11</v>
      </c>
      <c r="C137" s="12" t="s">
        <v>562</v>
      </c>
      <c r="D137" s="12" t="s">
        <v>298</v>
      </c>
      <c r="E137" s="13" t="s">
        <v>377</v>
      </c>
      <c r="F137" s="14" t="str">
        <f>INDEX('Woolworths Products'!$B$2:$B$208,MATCH($E137,'Woolworths Products'!$A$2:$A$208,0))</f>
        <v>Fresh Peeled Garlic 50 g</v>
      </c>
      <c r="G137" s="15">
        <v>3.5</v>
      </c>
      <c r="H137" s="14" t="str">
        <f>INDEX('Woolworths Products'!$G$2:$G$208,MATCH($E137,'Woolworths Products'!$A$2:$A$208,0))</f>
        <v>clove</v>
      </c>
      <c r="I137" s="14">
        <f>INDEX('Woolworths Products'!$F$2:$F$208,MATCH($E137,'Woolworths Products'!$A$2:$A$208,0))</f>
        <v>10</v>
      </c>
      <c r="J137" s="14">
        <f>INDEX('Woolworths Products'!$E$2:$E$208,MATCH($E137,'Woolworths Products'!$A$2:$A$208,0))</f>
        <v>29.99</v>
      </c>
      <c r="K137" s="5">
        <f>IF(COUNTIFS($A$2:A137,A137,$E$2:E137,E137)=1,ROUNDUP(SUMIFS($G:$G,$A:$A,A137,$E:$E,E137)/I137,0),0)</f>
        <v>1</v>
      </c>
      <c r="L137" s="5">
        <f t="shared" si="14"/>
        <v>29.99</v>
      </c>
      <c r="M137" s="5">
        <f t="shared" si="15"/>
        <v>10.496499999999999</v>
      </c>
      <c r="N137" s="9" t="s">
        <v>378</v>
      </c>
    </row>
    <row r="138" spans="1:14" x14ac:dyDescent="0.2">
      <c r="A138" s="12" t="s">
        <v>32</v>
      </c>
      <c r="B138" s="12" t="s">
        <v>11</v>
      </c>
      <c r="C138" s="12" t="s">
        <v>563</v>
      </c>
      <c r="D138" s="12" t="s">
        <v>298</v>
      </c>
      <c r="E138" s="13" t="s">
        <v>564</v>
      </c>
      <c r="F138" s="14" t="str">
        <f>INDEX('Woolworths Products'!$B$2:$B$208,MATCH($E138,'Woolworths Products'!$A$2:$A$208,0))</f>
        <v>Peeled and Diced Tomatoes 400 g</v>
      </c>
      <c r="G138" s="15">
        <v>2</v>
      </c>
      <c r="H138" s="14" t="str">
        <f>INDEX('Woolworths Products'!$G$2:$G$208,MATCH($E138,'Woolworths Products'!$A$2:$A$208,0))</f>
        <v>ea</v>
      </c>
      <c r="I138" s="14">
        <f>INDEX('Woolworths Products'!$F$2:$F$208,MATCH($E138,'Woolworths Products'!$A$2:$A$208,0))</f>
        <v>1</v>
      </c>
      <c r="J138" s="14">
        <f>INDEX('Woolworths Products'!$E$2:$E$208,MATCH($E138,'Woolworths Products'!$A$2:$A$208,0))</f>
        <v>26.99</v>
      </c>
      <c r="K138" s="5">
        <f>IF(COUNTIFS($A$2:A138,A138,$E$2:E138,E138)=1,ROUNDUP(SUMIFS($G:$G,$A:$A,A138,$E:$E,E138)/I138,0),0)</f>
        <v>2</v>
      </c>
      <c r="L138" s="5">
        <f t="shared" si="14"/>
        <v>53.98</v>
      </c>
      <c r="M138" s="5">
        <f t="shared" si="15"/>
        <v>53.98</v>
      </c>
      <c r="N138" s="9"/>
    </row>
    <row r="139" spans="1:14" x14ac:dyDescent="0.2">
      <c r="A139" s="12" t="s">
        <v>32</v>
      </c>
      <c r="B139" s="12" t="s">
        <v>11</v>
      </c>
      <c r="C139" s="12" t="s">
        <v>565</v>
      </c>
      <c r="D139" s="12" t="s">
        <v>298</v>
      </c>
      <c r="E139" s="13" t="s">
        <v>566</v>
      </c>
      <c r="F139" s="14" t="str">
        <f>INDEX('Woolworths Products'!$B$2:$B$208,MATCH($E139,'Woolworths Products'!$A$2:$A$208,0))</f>
        <v>Fresh Free Range Liquid Beef Stock 500 ml</v>
      </c>
      <c r="G139" s="15">
        <v>500</v>
      </c>
      <c r="H139" s="14" t="str">
        <f>INDEX('Woolworths Products'!$G$2:$G$208,MATCH($E139,'Woolworths Products'!$A$2:$A$208,0))</f>
        <v>ml</v>
      </c>
      <c r="I139" s="14">
        <f>INDEX('Woolworths Products'!$F$2:$F$208,MATCH($E139,'Woolworths Products'!$A$2:$A$208,0))</f>
        <v>500</v>
      </c>
      <c r="J139" s="14">
        <f>INDEX('Woolworths Products'!$E$2:$E$208,MATCH($E139,'Woolworths Products'!$A$2:$A$208,0))</f>
        <v>54.99</v>
      </c>
      <c r="K139" s="5">
        <f>IF(COUNTIFS($A$2:A139,A139,$E$2:E139,E139)=1,ROUNDUP(SUMIFS($G:$G,$A:$A,A139,$E:$E,E139)/I139,0),0)</f>
        <v>1</v>
      </c>
      <c r="L139" s="5">
        <f t="shared" si="14"/>
        <v>54.99</v>
      </c>
      <c r="M139" s="5">
        <f t="shared" si="15"/>
        <v>54.99</v>
      </c>
      <c r="N139" s="9"/>
    </row>
    <row r="140" spans="1:14" x14ac:dyDescent="0.2">
      <c r="A140" s="12" t="s">
        <v>32</v>
      </c>
      <c r="B140" s="12" t="s">
        <v>11</v>
      </c>
      <c r="C140" s="12" t="s">
        <v>567</v>
      </c>
      <c r="D140" s="12" t="s">
        <v>298</v>
      </c>
      <c r="E140" s="13" t="s">
        <v>568</v>
      </c>
      <c r="F140" s="14" t="str">
        <f>INDEX('Woolworths Products'!$B$2:$B$208,MATCH($E140,'Woolworths Products'!$A$2:$A$208,0))</f>
        <v>House Sauvignon Blanc 750 ml</v>
      </c>
      <c r="G140" s="15">
        <v>250</v>
      </c>
      <c r="H140" s="14" t="str">
        <f>INDEX('Woolworths Products'!$G$2:$G$208,MATCH($E140,'Woolworths Products'!$A$2:$A$208,0))</f>
        <v>ml</v>
      </c>
      <c r="I140" s="14">
        <f>INDEX('Woolworths Products'!$F$2:$F$208,MATCH($E140,'Woolworths Products'!$A$2:$A$208,0))</f>
        <v>750</v>
      </c>
      <c r="J140" s="14">
        <f>INDEX('Woolworths Products'!$E$2:$E$208,MATCH($E140,'Woolworths Products'!$A$2:$A$208,0))</f>
        <v>69.989999999999995</v>
      </c>
      <c r="K140" s="5">
        <f>IF(COUNTIFS($A$2:A140,A140,$E$2:E140,E140)=1,ROUNDUP(SUMIFS($G:$G,$A:$A,A140,$E:$E,E140)/I140,0),0)</f>
        <v>1</v>
      </c>
      <c r="L140" s="5">
        <f t="shared" si="14"/>
        <v>69.989999999999995</v>
      </c>
      <c r="M140" s="5">
        <f t="shared" si="15"/>
        <v>23.33</v>
      </c>
      <c r="N140" s="9"/>
    </row>
    <row r="141" spans="1:14" x14ac:dyDescent="0.2">
      <c r="A141" s="13" t="s">
        <v>32</v>
      </c>
      <c r="B141" s="13" t="s">
        <v>11</v>
      </c>
      <c r="C141" s="13" t="s">
        <v>422</v>
      </c>
      <c r="D141" s="13" t="s">
        <v>349</v>
      </c>
      <c r="E141" s="13"/>
      <c r="L141" s="5">
        <v>0</v>
      </c>
      <c r="M141" s="5">
        <v>0</v>
      </c>
      <c r="N141" s="9" t="s">
        <v>422</v>
      </c>
    </row>
    <row r="142" spans="1:14" x14ac:dyDescent="0.2">
      <c r="A142" s="16" t="s">
        <v>32</v>
      </c>
      <c r="B142" s="16" t="s">
        <v>11</v>
      </c>
      <c r="C142" s="16" t="s">
        <v>569</v>
      </c>
      <c r="D142" s="16" t="s">
        <v>298</v>
      </c>
      <c r="E142" s="17" t="s">
        <v>461</v>
      </c>
      <c r="F142" s="18" t="str">
        <f>INDEX('Woolworths Products'!$B$2:$B$208,MATCH($E142,'Woolworths Products'!$A$2:$A$208,0))</f>
        <v>Fresh Rosemary 20 g</v>
      </c>
      <c r="G142" s="19">
        <v>0.5</v>
      </c>
      <c r="H142" s="18" t="str">
        <f>INDEX('Woolworths Products'!$G$2:$G$208,MATCH($E142,'Woolworths Products'!$A$2:$A$208,0))</f>
        <v>punnet</v>
      </c>
      <c r="I142" s="18">
        <f>INDEX('Woolworths Products'!$F$2:$F$208,MATCH($E142,'Woolworths Products'!$A$2:$A$208,0))</f>
        <v>1</v>
      </c>
      <c r="J142" s="18">
        <f>INDEX('Woolworths Products'!$E$2:$E$208,MATCH($E142,'Woolworths Products'!$A$2:$A$208,0))</f>
        <v>15.99</v>
      </c>
      <c r="K142" s="20">
        <f>IF(COUNTIFS($A$2:A142,A142,$E$2:E142,E142)=1,ROUNDUP(SUMIFS($G:$G,$A:$A,A142,$E:$E,E142)/I142,0),0)</f>
        <v>1</v>
      </c>
      <c r="L142" s="20">
        <f t="shared" ref="L142:L150" si="16">K142*J142</f>
        <v>15.99</v>
      </c>
      <c r="M142" s="20">
        <f t="shared" ref="M142:M150" si="17">G142/I142*J142</f>
        <v>7.9950000000000001</v>
      </c>
      <c r="N142" s="21" t="s">
        <v>425</v>
      </c>
    </row>
    <row r="143" spans="1:14" x14ac:dyDescent="0.2">
      <c r="A143" s="12" t="s">
        <v>32</v>
      </c>
      <c r="B143" s="12" t="s">
        <v>11</v>
      </c>
      <c r="C143" s="12" t="s">
        <v>570</v>
      </c>
      <c r="D143" s="12" t="s">
        <v>298</v>
      </c>
      <c r="E143" s="13" t="s">
        <v>571</v>
      </c>
      <c r="F143" s="14" t="str">
        <f>INDEX('Woolworths Products'!$B$2:$B$208,MATCH($E143,'Woolworths Products'!$A$2:$A$208,0))</f>
        <v>Fresh Bay Leaves 20 g</v>
      </c>
      <c r="G143" s="15">
        <v>0.25</v>
      </c>
      <c r="H143" s="14" t="str">
        <f>INDEX('Woolworths Products'!$G$2:$G$208,MATCH($E143,'Woolworths Products'!$A$2:$A$208,0))</f>
        <v>punnet</v>
      </c>
      <c r="I143" s="14">
        <f>INDEX('Woolworths Products'!$F$2:$F$208,MATCH($E143,'Woolworths Products'!$A$2:$A$208,0))</f>
        <v>1</v>
      </c>
      <c r="J143" s="14">
        <f>INDEX('Woolworths Products'!$E$2:$E$208,MATCH($E143,'Woolworths Products'!$A$2:$A$208,0))</f>
        <v>15.99</v>
      </c>
      <c r="K143" s="5">
        <f>IF(COUNTIFS($A$2:A143,A143,$E$2:E143,E143)=1,ROUNDUP(SUMIFS($G:$G,$A:$A,A143,$E:$E,E143)/I143,0),0)</f>
        <v>1</v>
      </c>
      <c r="L143" s="5">
        <f t="shared" si="16"/>
        <v>15.99</v>
      </c>
      <c r="M143" s="5">
        <f t="shared" si="17"/>
        <v>3.9975000000000001</v>
      </c>
      <c r="N143" s="9"/>
    </row>
    <row r="144" spans="1:14" x14ac:dyDescent="0.2">
      <c r="A144" s="16" t="s">
        <v>32</v>
      </c>
      <c r="B144" s="16" t="s">
        <v>11</v>
      </c>
      <c r="C144" s="16" t="s">
        <v>572</v>
      </c>
      <c r="D144" s="16" t="s">
        <v>298</v>
      </c>
      <c r="E144" s="17" t="s">
        <v>492</v>
      </c>
      <c r="F144" s="18" t="str">
        <f>INDEX('Woolworths Products'!$B$2:$B$208,MATCH($E144,'Woolworths Products'!$A$2:$A$208,0))</f>
        <v>South African Grated Medium Fat Hard Cheese 60 g</v>
      </c>
      <c r="G144" s="19">
        <v>20</v>
      </c>
      <c r="H144" s="18" t="str">
        <f>INDEX('Woolworths Products'!$G$2:$G$208,MATCH($E144,'Woolworths Products'!$A$2:$A$208,0))</f>
        <v>g</v>
      </c>
      <c r="I144" s="18">
        <f>INDEX('Woolworths Products'!$F$2:$F$208,MATCH($E144,'Woolworths Products'!$A$2:$A$208,0))</f>
        <v>60</v>
      </c>
      <c r="J144" s="18">
        <f>INDEX('Woolworths Products'!$E$2:$E$208,MATCH($E144,'Woolworths Products'!$A$2:$A$208,0))</f>
        <v>49.99</v>
      </c>
      <c r="K144" s="20">
        <f>IF(COUNTIFS($A$2:A144,A144,$E$2:E144,E144)=1,ROUNDUP(SUMIFS($G:$G,$A:$A,A144,$E:$E,E144)/I144,0),0)</f>
        <v>1</v>
      </c>
      <c r="L144" s="20">
        <f t="shared" si="16"/>
        <v>49.99</v>
      </c>
      <c r="M144" s="20">
        <f t="shared" si="17"/>
        <v>16.663333333333334</v>
      </c>
      <c r="N144" s="21" t="s">
        <v>493</v>
      </c>
    </row>
    <row r="145" spans="1:14" x14ac:dyDescent="0.2">
      <c r="A145" s="16" t="s">
        <v>32</v>
      </c>
      <c r="B145" s="16" t="s">
        <v>11</v>
      </c>
      <c r="C145" s="16" t="s">
        <v>573</v>
      </c>
      <c r="D145" s="16" t="s">
        <v>298</v>
      </c>
      <c r="E145" s="17" t="s">
        <v>382</v>
      </c>
      <c r="F145" s="18" t="str">
        <f>INDEX('Woolworths Products'!$B$2:$B$208,MATCH($E145,'Woolworths Products'!$A$2:$A$208,0))</f>
        <v>Fresh Parsley 30 g</v>
      </c>
      <c r="G145" s="19">
        <v>0.5</v>
      </c>
      <c r="H145" s="18" t="str">
        <f>INDEX('Woolworths Products'!$G$2:$G$208,MATCH($E145,'Woolworths Products'!$A$2:$A$208,0))</f>
        <v>punnet</v>
      </c>
      <c r="I145" s="18">
        <f>INDEX('Woolworths Products'!$F$2:$F$208,MATCH($E145,'Woolworths Products'!$A$2:$A$208,0))</f>
        <v>1</v>
      </c>
      <c r="J145" s="18">
        <f>INDEX('Woolworths Products'!$E$2:$E$208,MATCH($E145,'Woolworths Products'!$A$2:$A$208,0))</f>
        <v>15.99</v>
      </c>
      <c r="K145" s="20">
        <f>IF(COUNTIFS($A$2:A145,A145,$E$2:E145,E145)=1,ROUNDUP(SUMIFS($G:$G,$A:$A,A145,$E:$E,E145)/I145,0),0)</f>
        <v>1</v>
      </c>
      <c r="L145" s="20">
        <f t="shared" si="16"/>
        <v>15.99</v>
      </c>
      <c r="M145" s="20">
        <f t="shared" si="17"/>
        <v>7.9950000000000001</v>
      </c>
      <c r="N145" s="21" t="s">
        <v>425</v>
      </c>
    </row>
    <row r="146" spans="1:14" x14ac:dyDescent="0.2">
      <c r="A146" s="12" t="s">
        <v>32</v>
      </c>
      <c r="B146" s="12" t="s">
        <v>11</v>
      </c>
      <c r="C146" s="12" t="s">
        <v>345</v>
      </c>
      <c r="D146" s="12" t="s">
        <v>298</v>
      </c>
      <c r="E146" s="13" t="s">
        <v>323</v>
      </c>
      <c r="F146" s="14" t="str">
        <f>INDEX('Woolworths Products'!$B$2:$B$208,MATCH($E146,'Woolworths Products'!$A$2:$A$208,0))</f>
        <v>Lemons 3 pk</v>
      </c>
      <c r="G146" s="15">
        <v>1</v>
      </c>
      <c r="H146" s="14" t="str">
        <f>INDEX('Woolworths Products'!$G$2:$G$208,MATCH($E146,'Woolworths Products'!$A$2:$A$208,0))</f>
        <v>ea</v>
      </c>
      <c r="I146" s="14">
        <f>INDEX('Woolworths Products'!$F$2:$F$208,MATCH($E146,'Woolworths Products'!$A$2:$A$208,0))</f>
        <v>3</v>
      </c>
      <c r="J146" s="14">
        <f>INDEX('Woolworths Products'!$E$2:$E$208,MATCH($E146,'Woolworths Products'!$A$2:$A$208,0))</f>
        <v>27.99</v>
      </c>
      <c r="K146" s="5">
        <f>IF(COUNTIFS($A$2:A146,A146,$E$2:E146,E146)=1,ROUNDUP(SUMIFS($G:$G,$A:$A,A146,$E:$E,E146)/I146,0),0)</f>
        <v>1</v>
      </c>
      <c r="L146" s="5">
        <f t="shared" si="16"/>
        <v>27.99</v>
      </c>
      <c r="M146" s="5">
        <f t="shared" si="17"/>
        <v>9.3299999999999983</v>
      </c>
      <c r="N146" s="9"/>
    </row>
    <row r="147" spans="1:14" x14ac:dyDescent="0.2">
      <c r="A147" s="16" t="s">
        <v>32</v>
      </c>
      <c r="B147" s="16" t="s">
        <v>11</v>
      </c>
      <c r="C147" s="16" t="s">
        <v>574</v>
      </c>
      <c r="D147" s="16" t="s">
        <v>298</v>
      </c>
      <c r="E147" s="17" t="s">
        <v>575</v>
      </c>
      <c r="F147" s="18" t="str">
        <f>INDEX('Woolworths Products'!$B$2:$B$208,MATCH($E147,'Woolworths Products'!$A$2:$A$208,0))</f>
        <v>Bulgur Wheat 500 g</v>
      </c>
      <c r="G147" s="19">
        <v>300</v>
      </c>
      <c r="H147" s="18" t="str">
        <f>INDEX('Woolworths Products'!$G$2:$G$208,MATCH($E147,'Woolworths Products'!$A$2:$A$208,0))</f>
        <v>g</v>
      </c>
      <c r="I147" s="18">
        <f>INDEX('Woolworths Products'!$F$2:$F$208,MATCH($E147,'Woolworths Products'!$A$2:$A$208,0))</f>
        <v>500</v>
      </c>
      <c r="J147" s="18">
        <f>INDEX('Woolworths Products'!$E$2:$E$208,MATCH($E147,'Woolworths Products'!$A$2:$A$208,0))</f>
        <v>44.99</v>
      </c>
      <c r="K147" s="20">
        <f>IF(COUNTIFS($A$2:A147,A147,$E$2:E147,E147)=1,ROUNDUP(SUMIFS($G:$G,$A:$A,A147,$E:$E,E147)/I147,0),0)</f>
        <v>1</v>
      </c>
      <c r="L147" s="20">
        <f t="shared" si="16"/>
        <v>44.99</v>
      </c>
      <c r="M147" s="20">
        <f t="shared" si="17"/>
        <v>26.994</v>
      </c>
      <c r="N147" s="21" t="s">
        <v>576</v>
      </c>
    </row>
    <row r="148" spans="1:14" x14ac:dyDescent="0.2">
      <c r="A148" s="12" t="s">
        <v>33</v>
      </c>
      <c r="B148" s="12" t="s">
        <v>17</v>
      </c>
      <c r="C148" s="12" t="s">
        <v>577</v>
      </c>
      <c r="D148" s="12" t="s">
        <v>298</v>
      </c>
      <c r="E148" s="13" t="s">
        <v>578</v>
      </c>
      <c r="F148" s="14" t="str">
        <f>INDEX('Woolworths Products'!$B$2:$B$208,MATCH($E148,'Woolworths Products'!$A$2:$A$208,0))</f>
        <v>Bakers Cream Crackers 200 g</v>
      </c>
      <c r="G148" s="15">
        <v>15</v>
      </c>
      <c r="H148" s="14" t="str">
        <f>INDEX('Woolworths Products'!$G$2:$G$208,MATCH($E148,'Woolworths Products'!$A$2:$A$208,0))</f>
        <v>ea</v>
      </c>
      <c r="I148" s="14">
        <f>INDEX('Woolworths Products'!$F$2:$F$208,MATCH($E148,'Woolworths Products'!$A$2:$A$208,0))</f>
        <v>24</v>
      </c>
      <c r="J148" s="14">
        <f>INDEX('Woolworths Products'!$E$2:$E$208,MATCH($E148,'Woolworths Products'!$A$2:$A$208,0))</f>
        <v>32.99</v>
      </c>
      <c r="K148" s="5">
        <f>IF(COUNTIFS($A$2:A148,A148,$E$2:E148,E148)=1,ROUNDUP(SUMIFS($G:$G,$A:$A,A148,$E:$E,E148)/I148,0),0)</f>
        <v>1</v>
      </c>
      <c r="L148" s="5">
        <f t="shared" si="16"/>
        <v>32.99</v>
      </c>
      <c r="M148" s="5">
        <f t="shared" si="17"/>
        <v>20.618750000000002</v>
      </c>
      <c r="N148" s="9" t="s">
        <v>579</v>
      </c>
    </row>
    <row r="149" spans="1:14" x14ac:dyDescent="0.2">
      <c r="A149" s="12" t="s">
        <v>33</v>
      </c>
      <c r="B149" s="12" t="s">
        <v>17</v>
      </c>
      <c r="C149" s="12" t="s">
        <v>580</v>
      </c>
      <c r="D149" s="12" t="s">
        <v>298</v>
      </c>
      <c r="E149" s="13" t="s">
        <v>581</v>
      </c>
      <c r="F149" s="14" t="str">
        <f>INDEX('Woolworths Products'!$B$2:$B$208,MATCH($E149,'Woolworths Products'!$A$2:$A$208,0))</f>
        <v>Pitted Medjool Dates 150 g</v>
      </c>
      <c r="G149" s="15">
        <v>7</v>
      </c>
      <c r="H149" s="14" t="str">
        <f>INDEX('Woolworths Products'!$G$2:$G$208,MATCH($E149,'Woolworths Products'!$A$2:$A$208,0))</f>
        <v>ea</v>
      </c>
      <c r="I149" s="14">
        <f>INDEX('Woolworths Products'!$F$2:$F$208,MATCH($E149,'Woolworths Products'!$A$2:$A$208,0))</f>
        <v>8</v>
      </c>
      <c r="J149" s="14">
        <f>INDEX('Woolworths Products'!$E$2:$E$208,MATCH($E149,'Woolworths Products'!$A$2:$A$208,0))</f>
        <v>32.99</v>
      </c>
      <c r="K149" s="5">
        <f>IF(COUNTIFS($A$2:A149,A149,$E$2:E149,E149)=1,ROUNDUP(SUMIFS($G:$G,$A:$A,A149,$E:$E,E149)/I149,0),0)</f>
        <v>1</v>
      </c>
      <c r="L149" s="5">
        <f t="shared" si="16"/>
        <v>32.99</v>
      </c>
      <c r="M149" s="5">
        <f t="shared" si="17"/>
        <v>28.866250000000001</v>
      </c>
      <c r="N149" s="9" t="s">
        <v>582</v>
      </c>
    </row>
    <row r="150" spans="1:14" x14ac:dyDescent="0.2">
      <c r="A150" s="12" t="s">
        <v>33</v>
      </c>
      <c r="B150" s="12" t="s">
        <v>17</v>
      </c>
      <c r="C150" s="12" t="s">
        <v>583</v>
      </c>
      <c r="D150" s="12" t="s">
        <v>298</v>
      </c>
      <c r="E150" s="13" t="s">
        <v>584</v>
      </c>
      <c r="F150" s="14" t="str">
        <f>INDEX('Woolworths Products'!$B$2:$B$208,MATCH($E150,'Woolworths Products'!$A$2:$A$208,0))</f>
        <v>No Added Salt and Sugar Peanut Butter 400 g</v>
      </c>
      <c r="G150" s="15">
        <v>125</v>
      </c>
      <c r="H150" s="14" t="str">
        <f>INDEX('Woolworths Products'!$G$2:$G$208,MATCH($E150,'Woolworths Products'!$A$2:$A$208,0))</f>
        <v>g</v>
      </c>
      <c r="I150" s="14">
        <f>INDEX('Woolworths Products'!$F$2:$F$208,MATCH($E150,'Woolworths Products'!$A$2:$A$208,0))</f>
        <v>400</v>
      </c>
      <c r="J150" s="14">
        <f>INDEX('Woolworths Products'!$E$2:$E$208,MATCH($E150,'Woolworths Products'!$A$2:$A$208,0))</f>
        <v>52.99</v>
      </c>
      <c r="K150" s="5">
        <f>IF(COUNTIFS($A$2:A150,A150,$E$2:E150,E150)=1,ROUNDUP(SUMIFS($G:$G,$A:$A,A150,$E:$E,E150)/I150,0),0)</f>
        <v>1</v>
      </c>
      <c r="L150" s="5">
        <f t="shared" si="16"/>
        <v>52.99</v>
      </c>
      <c r="M150" s="5">
        <f t="shared" si="17"/>
        <v>16.559374999999999</v>
      </c>
      <c r="N150" s="9"/>
    </row>
    <row r="151" spans="1:14" x14ac:dyDescent="0.2">
      <c r="A151" s="13" t="s">
        <v>33</v>
      </c>
      <c r="B151" s="13" t="s">
        <v>17</v>
      </c>
      <c r="C151" s="13" t="s">
        <v>585</v>
      </c>
      <c r="D151" s="13" t="s">
        <v>349</v>
      </c>
      <c r="E151" s="13"/>
      <c r="L151" s="5">
        <v>0</v>
      </c>
      <c r="M151" s="5">
        <v>0</v>
      </c>
      <c r="N151" s="9" t="s">
        <v>522</v>
      </c>
    </row>
    <row r="152" spans="1:14" x14ac:dyDescent="0.2">
      <c r="A152" s="12" t="s">
        <v>33</v>
      </c>
      <c r="B152" s="12" t="s">
        <v>17</v>
      </c>
      <c r="C152" s="12" t="s">
        <v>586</v>
      </c>
      <c r="D152" s="12" t="s">
        <v>298</v>
      </c>
      <c r="E152" s="13" t="s">
        <v>587</v>
      </c>
      <c r="F152" s="14" t="str">
        <f>INDEX('Woolworths Products'!$B$2:$B$208,MATCH($E152,'Woolworths Products'!$A$2:$A$208,0))</f>
        <v>Cadbury Dairy Milk Chocolate Bar 80 g</v>
      </c>
      <c r="G152" s="15">
        <v>40</v>
      </c>
      <c r="H152" s="14" t="str">
        <f>INDEX('Woolworths Products'!$G$2:$G$208,MATCH($E152,'Woolworths Products'!$A$2:$A$208,0))</f>
        <v>g</v>
      </c>
      <c r="I152" s="14">
        <f>INDEX('Woolworths Products'!$F$2:$F$208,MATCH($E152,'Woolworths Products'!$A$2:$A$208,0))</f>
        <v>80</v>
      </c>
      <c r="J152" s="14">
        <f>INDEX('Woolworths Products'!$E$2:$E$208,MATCH($E152,'Woolworths Products'!$A$2:$A$208,0))</f>
        <v>25.99</v>
      </c>
      <c r="K152" s="5">
        <f>IF(COUNTIFS($A$2:A152,A152,$E$2:E152,E152)=1,ROUNDUP(SUMIFS($G:$G,$A:$A,A152,$E:$E,E152)/I152,0),0)</f>
        <v>1</v>
      </c>
      <c r="L152" s="5">
        <f>K152*J152</f>
        <v>25.99</v>
      </c>
      <c r="M152" s="5">
        <f>G152/I152*J152</f>
        <v>12.994999999999999</v>
      </c>
      <c r="N152" s="9"/>
    </row>
    <row r="153" spans="1:14" x14ac:dyDescent="0.2">
      <c r="A153" s="12" t="s">
        <v>33</v>
      </c>
      <c r="B153" s="12" t="s">
        <v>17</v>
      </c>
      <c r="C153" s="12" t="s">
        <v>588</v>
      </c>
      <c r="D153" s="12" t="s">
        <v>298</v>
      </c>
      <c r="E153" s="13" t="s">
        <v>589</v>
      </c>
      <c r="F153" s="14" t="str">
        <f>INDEX('Woolworths Products'!$B$2:$B$208,MATCH($E153,'Woolworths Products'!$A$2:$A$208,0))</f>
        <v>Raw Flaked Almonds 100 g</v>
      </c>
      <c r="G153" s="15">
        <v>15</v>
      </c>
      <c r="H153" s="14" t="str">
        <f>INDEX('Woolworths Products'!$G$2:$G$208,MATCH($E153,'Woolworths Products'!$A$2:$A$208,0))</f>
        <v>g</v>
      </c>
      <c r="I153" s="14">
        <f>INDEX('Woolworths Products'!$F$2:$F$208,MATCH($E153,'Woolworths Products'!$A$2:$A$208,0))</f>
        <v>100</v>
      </c>
      <c r="J153" s="14">
        <f>INDEX('Woolworths Products'!$E$2:$E$208,MATCH($E153,'Woolworths Products'!$A$2:$A$208,0))</f>
        <v>64.989999999999995</v>
      </c>
      <c r="K153" s="5">
        <f>IF(COUNTIFS($A$2:A153,A153,$E$2:E153,E153)=1,ROUNDUP(SUMIFS($G:$G,$A:$A,A153,$E:$E,E153)/I153,0),0)</f>
        <v>1</v>
      </c>
      <c r="L153" s="5">
        <f>K153*J153</f>
        <v>64.989999999999995</v>
      </c>
      <c r="M153" s="5">
        <f>G153/I153*J153</f>
        <v>9.7484999999999982</v>
      </c>
      <c r="N153" s="9"/>
    </row>
    <row r="154" spans="1:14" x14ac:dyDescent="0.2">
      <c r="A154" s="13" t="s">
        <v>33</v>
      </c>
      <c r="B154" s="13" t="s">
        <v>17</v>
      </c>
      <c r="C154" s="13" t="s">
        <v>590</v>
      </c>
      <c r="D154" s="13" t="s">
        <v>349</v>
      </c>
      <c r="E154" s="13"/>
      <c r="L154" s="5">
        <v>0</v>
      </c>
      <c r="M154" s="5">
        <v>0</v>
      </c>
      <c r="N154" s="9" t="s">
        <v>348</v>
      </c>
    </row>
    <row r="155" spans="1:14" x14ac:dyDescent="0.2">
      <c r="A155" s="12" t="s">
        <v>34</v>
      </c>
      <c r="B155" s="12" t="s">
        <v>22</v>
      </c>
      <c r="C155" s="12" t="s">
        <v>591</v>
      </c>
      <c r="D155" s="12" t="s">
        <v>298</v>
      </c>
      <c r="E155" s="13" t="s">
        <v>365</v>
      </c>
      <c r="F155" s="14" t="str">
        <f>INDEX('Woolworths Products'!$B$2:$B$208,MATCH($E155,'Woolworths Products'!$A$2:$A$208,0))</f>
        <v>Salted Butter 250 g</v>
      </c>
      <c r="G155" s="15">
        <v>21</v>
      </c>
      <c r="H155" s="14" t="str">
        <f>INDEX('Woolworths Products'!$G$2:$G$208,MATCH($E155,'Woolworths Products'!$A$2:$A$208,0))</f>
        <v>g</v>
      </c>
      <c r="I155" s="14">
        <f>INDEX('Woolworths Products'!$F$2:$F$208,MATCH($E155,'Woolworths Products'!$A$2:$A$208,0))</f>
        <v>250</v>
      </c>
      <c r="J155" s="14">
        <f>INDEX('Woolworths Products'!$E$2:$E$208,MATCH($E155,'Woolworths Products'!$A$2:$A$208,0))</f>
        <v>68.989999999999995</v>
      </c>
      <c r="K155" s="5">
        <f>IF(COUNTIFS($A$2:A155,A155,$E$2:E155,E155)=1,ROUNDUP(SUMIFS($G:$G,$A:$A,A155,$E:$E,E155)/I155,0),0)</f>
        <v>1</v>
      </c>
      <c r="L155" s="5">
        <f>K155*J155</f>
        <v>68.989999999999995</v>
      </c>
      <c r="M155" s="5">
        <f>G155/I155*J155</f>
        <v>5.7951600000000001</v>
      </c>
      <c r="N155" s="9"/>
    </row>
    <row r="156" spans="1:14" x14ac:dyDescent="0.2">
      <c r="A156" s="12" t="s">
        <v>34</v>
      </c>
      <c r="B156" s="12" t="s">
        <v>22</v>
      </c>
      <c r="C156" s="12" t="s">
        <v>592</v>
      </c>
      <c r="D156" s="12" t="s">
        <v>298</v>
      </c>
      <c r="E156" s="13" t="s">
        <v>353</v>
      </c>
      <c r="F156" s="14" t="str">
        <f>INDEX('Woolworths Products'!$B$2:$B$208,MATCH($E156,'Woolworths Products'!$A$2:$A$208,0))</f>
        <v>Cake Wheat Flour 1 kg</v>
      </c>
      <c r="G156" s="15">
        <v>30</v>
      </c>
      <c r="H156" s="14" t="str">
        <f>INDEX('Woolworths Products'!$G$2:$G$208,MATCH($E156,'Woolworths Products'!$A$2:$A$208,0))</f>
        <v>g</v>
      </c>
      <c r="I156" s="14">
        <f>INDEX('Woolworths Products'!$F$2:$F$208,MATCH($E156,'Woolworths Products'!$A$2:$A$208,0))</f>
        <v>1000</v>
      </c>
      <c r="J156" s="14">
        <f>INDEX('Woolworths Products'!$E$2:$E$208,MATCH($E156,'Woolworths Products'!$A$2:$A$208,0))</f>
        <v>21.99</v>
      </c>
      <c r="K156" s="5">
        <f>IF(COUNTIFS($A$2:A156,A156,$E$2:E156,E156)=1,ROUNDUP(SUMIFS($G:$G,$A:$A,A156,$E:$E,E156)/I156,0),0)</f>
        <v>1</v>
      </c>
      <c r="L156" s="5">
        <f>K156*J156</f>
        <v>21.99</v>
      </c>
      <c r="M156" s="5">
        <f>G156/I156*J156</f>
        <v>0.65969999999999995</v>
      </c>
      <c r="N156" s="9"/>
    </row>
    <row r="157" spans="1:14" x14ac:dyDescent="0.2">
      <c r="A157" s="16" t="s">
        <v>34</v>
      </c>
      <c r="B157" s="16" t="s">
        <v>22</v>
      </c>
      <c r="C157" s="16" t="s">
        <v>593</v>
      </c>
      <c r="D157" s="16" t="s">
        <v>298</v>
      </c>
      <c r="E157" s="17" t="s">
        <v>388</v>
      </c>
      <c r="F157" s="18" t="str">
        <f>INDEX('Woolworths Products'!$B$2:$B$208,MATCH($E157,'Woolworths Products'!$A$2:$A$208,0))</f>
        <v>Long Life Full Cream Milk 1 L</v>
      </c>
      <c r="G157" s="19">
        <v>250</v>
      </c>
      <c r="H157" s="18" t="str">
        <f>INDEX('Woolworths Products'!$G$2:$G$208,MATCH($E157,'Woolworths Products'!$A$2:$A$208,0))</f>
        <v>ml</v>
      </c>
      <c r="I157" s="18">
        <f>INDEX('Woolworths Products'!$F$2:$F$208,MATCH($E157,'Woolworths Products'!$A$2:$A$208,0))</f>
        <v>1000</v>
      </c>
      <c r="J157" s="18">
        <f>INDEX('Woolworths Products'!$E$2:$E$208,MATCH($E157,'Woolworths Products'!$A$2:$A$208,0))</f>
        <v>22.99</v>
      </c>
      <c r="K157" s="20">
        <f>IF(COUNTIFS($A$2:A157,A157,$E$2:E157,E157)=1,ROUNDUP(SUMIFS($G:$G,$A:$A,A157,$E:$E,E157)/I157,0),0)</f>
        <v>1</v>
      </c>
      <c r="L157" s="20">
        <f>K157*J157</f>
        <v>22.99</v>
      </c>
      <c r="M157" s="20">
        <f>G157/I157*J157</f>
        <v>5.7474999999999996</v>
      </c>
      <c r="N157" s="21" t="s">
        <v>510</v>
      </c>
    </row>
    <row r="158" spans="1:14" x14ac:dyDescent="0.2">
      <c r="A158" s="13" t="s">
        <v>34</v>
      </c>
      <c r="B158" s="13" t="s">
        <v>22</v>
      </c>
      <c r="C158" s="13" t="s">
        <v>590</v>
      </c>
      <c r="D158" s="13" t="s">
        <v>349</v>
      </c>
      <c r="E158" s="13"/>
      <c r="L158" s="5">
        <v>0</v>
      </c>
      <c r="M158" s="5">
        <v>0</v>
      </c>
      <c r="N158" s="9" t="s">
        <v>348</v>
      </c>
    </row>
    <row r="159" spans="1:14" x14ac:dyDescent="0.2">
      <c r="A159" s="12" t="s">
        <v>34</v>
      </c>
      <c r="B159" s="12" t="s">
        <v>22</v>
      </c>
      <c r="C159" s="12" t="s">
        <v>594</v>
      </c>
      <c r="D159" s="12" t="s">
        <v>298</v>
      </c>
      <c r="E159" s="13" t="s">
        <v>595</v>
      </c>
      <c r="F159" s="14" t="str">
        <f>INDEX('Woolworths Products'!$B$2:$B$208,MATCH($E159,'Woolworths Products'!$A$2:$A$208,0))</f>
        <v>Colman's Traditional Hot English Mustard 168 g</v>
      </c>
      <c r="G159" s="15">
        <v>5</v>
      </c>
      <c r="H159" s="14" t="str">
        <f>INDEX('Woolworths Products'!$G$2:$G$208,MATCH($E159,'Woolworths Products'!$A$2:$A$208,0))</f>
        <v>g</v>
      </c>
      <c r="I159" s="14">
        <f>INDEX('Woolworths Products'!$F$2:$F$208,MATCH($E159,'Woolworths Products'!$A$2:$A$208,0))</f>
        <v>168</v>
      </c>
      <c r="J159" s="14">
        <f>INDEX('Woolworths Products'!$E$2:$E$208,MATCH($E159,'Woolworths Products'!$A$2:$A$208,0))</f>
        <v>54.99</v>
      </c>
      <c r="K159" s="5">
        <f>IF(COUNTIFS($A$2:A159,A159,$E$2:E159,E159)=1,ROUNDUP(SUMIFS($G:$G,$A:$A,A159,$E:$E,E159)/I159,0),0)</f>
        <v>1</v>
      </c>
      <c r="L159" s="5">
        <f t="shared" ref="L159:L183" si="18">K159*J159</f>
        <v>54.99</v>
      </c>
      <c r="M159" s="5">
        <f t="shared" ref="M159:M183" si="19">G159/I159*J159</f>
        <v>1.6366071428571429</v>
      </c>
      <c r="N159" s="9"/>
    </row>
    <row r="160" spans="1:14" x14ac:dyDescent="0.2">
      <c r="A160" s="12" t="s">
        <v>35</v>
      </c>
      <c r="B160" s="12" t="s">
        <v>11</v>
      </c>
      <c r="C160" s="12" t="s">
        <v>596</v>
      </c>
      <c r="D160" s="12" t="s">
        <v>298</v>
      </c>
      <c r="E160" s="13" t="s">
        <v>597</v>
      </c>
      <c r="F160" s="14" t="str">
        <f>INDEX('Woolworths Products'!$B$2:$B$208,MATCH($E160,'Woolworths Products'!$A$2:$A$208,0))</f>
        <v>Sliced Butter Basted Chicken Breast 300 g</v>
      </c>
      <c r="G160" s="15">
        <v>300</v>
      </c>
      <c r="H160" s="14" t="str">
        <f>INDEX('Woolworths Products'!$G$2:$G$208,MATCH($E160,'Woolworths Products'!$A$2:$A$208,0))</f>
        <v>g</v>
      </c>
      <c r="I160" s="14">
        <f>INDEX('Woolworths Products'!$F$2:$F$208,MATCH($E160,'Woolworths Products'!$A$2:$A$208,0))</f>
        <v>300</v>
      </c>
      <c r="J160" s="14">
        <f>INDEX('Woolworths Products'!$E$2:$E$208,MATCH($E160,'Woolworths Products'!$A$2:$A$208,0))</f>
        <v>72.989999999999995</v>
      </c>
      <c r="K160" s="5">
        <f>IF(COUNTIFS($A$2:A160,A160,$E$2:E160,E160)=1,ROUNDUP(SUMIFS($G:$G,$A:$A,A160,$E:$E,E160)/I160,0),0)</f>
        <v>1</v>
      </c>
      <c r="L160" s="5">
        <f t="shared" si="18"/>
        <v>72.989999999999995</v>
      </c>
      <c r="M160" s="5">
        <f t="shared" si="19"/>
        <v>72.989999999999995</v>
      </c>
      <c r="N160" s="9"/>
    </row>
    <row r="161" spans="1:14" x14ac:dyDescent="0.2">
      <c r="A161" s="12" t="s">
        <v>35</v>
      </c>
      <c r="B161" s="12" t="s">
        <v>11</v>
      </c>
      <c r="C161" s="12" t="s">
        <v>598</v>
      </c>
      <c r="D161" s="12" t="s">
        <v>298</v>
      </c>
      <c r="E161" s="13" t="s">
        <v>599</v>
      </c>
      <c r="F161" s="14" t="str">
        <f>INDEX('Woolworths Products'!$B$2:$B$208,MATCH($E161,'Woolworths Products'!$A$2:$A$208,0))</f>
        <v>Canola Oil 750 ml</v>
      </c>
      <c r="G161" s="15">
        <v>15</v>
      </c>
      <c r="H161" s="14" t="str">
        <f>INDEX('Woolworths Products'!$G$2:$G$208,MATCH($E161,'Woolworths Products'!$A$2:$A$208,0))</f>
        <v>ml</v>
      </c>
      <c r="I161" s="14">
        <f>INDEX('Woolworths Products'!$F$2:$F$208,MATCH($E161,'Woolworths Products'!$A$2:$A$208,0))</f>
        <v>750</v>
      </c>
      <c r="J161" s="14">
        <f>INDEX('Woolworths Products'!$E$2:$E$208,MATCH($E161,'Woolworths Products'!$A$2:$A$208,0))</f>
        <v>39.99</v>
      </c>
      <c r="K161" s="5">
        <f>IF(COUNTIFS($A$2:A161,A161,$E$2:E161,E161)=1,ROUNDUP(SUMIFS($G:$G,$A:$A,A161,$E:$E,E161)/I161,0),0)</f>
        <v>1</v>
      </c>
      <c r="L161" s="5">
        <f t="shared" si="18"/>
        <v>39.99</v>
      </c>
      <c r="M161" s="5">
        <f t="shared" si="19"/>
        <v>0.79980000000000007</v>
      </c>
      <c r="N161" s="9" t="s">
        <v>600</v>
      </c>
    </row>
    <row r="162" spans="1:14" x14ac:dyDescent="0.2">
      <c r="A162" s="12" t="s">
        <v>35</v>
      </c>
      <c r="B162" s="12" t="s">
        <v>11</v>
      </c>
      <c r="C162" s="12" t="s">
        <v>601</v>
      </c>
      <c r="D162" s="12" t="s">
        <v>298</v>
      </c>
      <c r="E162" s="13" t="s">
        <v>343</v>
      </c>
      <c r="F162" s="14" t="str">
        <f>INDEX('Woolworths Products'!$B$2:$B$208,MATCH($E162,'Woolworths Products'!$A$2:$A$208,0))</f>
        <v>Brown Onions 1 kg</v>
      </c>
      <c r="G162" s="15">
        <v>200</v>
      </c>
      <c r="H162" s="14" t="str">
        <f>INDEX('Woolworths Products'!$G$2:$G$208,MATCH($E162,'Woolworths Products'!$A$2:$A$208,0))</f>
        <v>g</v>
      </c>
      <c r="I162" s="14">
        <f>INDEX('Woolworths Products'!$F$2:$F$208,MATCH($E162,'Woolworths Products'!$A$2:$A$208,0))</f>
        <v>1000</v>
      </c>
      <c r="J162" s="14">
        <f>INDEX('Woolworths Products'!$E$2:$E$208,MATCH($E162,'Woolworths Products'!$A$2:$A$208,0))</f>
        <v>39.9</v>
      </c>
      <c r="K162" s="5">
        <f>IF(COUNTIFS($A$2:A162,A162,$E$2:E162,E162)=1,ROUNDUP(SUMIFS($G:$G,$A:$A,A162,$E:$E,E162)/I162,0),0)</f>
        <v>1</v>
      </c>
      <c r="L162" s="5">
        <f t="shared" si="18"/>
        <v>39.9</v>
      </c>
      <c r="M162" s="5">
        <f t="shared" si="19"/>
        <v>7.98</v>
      </c>
      <c r="N162" s="9" t="s">
        <v>602</v>
      </c>
    </row>
    <row r="163" spans="1:14" x14ac:dyDescent="0.2">
      <c r="A163" s="12" t="s">
        <v>35</v>
      </c>
      <c r="B163" s="12" t="s">
        <v>11</v>
      </c>
      <c r="C163" s="12" t="s">
        <v>603</v>
      </c>
      <c r="D163" s="12" t="s">
        <v>298</v>
      </c>
      <c r="E163" s="13" t="s">
        <v>604</v>
      </c>
      <c r="F163" s="14" t="str">
        <f>INDEX('Woolworths Products'!$B$2:$B$208,MATCH($E163,'Woolworths Products'!$A$2:$A$208,0))</f>
        <v>Sweetcorn 2 pk</v>
      </c>
      <c r="G163" s="15">
        <v>2</v>
      </c>
      <c r="H163" s="14" t="str">
        <f>INDEX('Woolworths Products'!$G$2:$G$208,MATCH($E163,'Woolworths Products'!$A$2:$A$208,0))</f>
        <v>ea</v>
      </c>
      <c r="I163" s="14">
        <f>INDEX('Woolworths Products'!$F$2:$F$208,MATCH($E163,'Woolworths Products'!$A$2:$A$208,0))</f>
        <v>2</v>
      </c>
      <c r="J163" s="14">
        <f>INDEX('Woolworths Products'!$E$2:$E$208,MATCH($E163,'Woolworths Products'!$A$2:$A$208,0))</f>
        <v>25.99</v>
      </c>
      <c r="K163" s="5">
        <f>IF(COUNTIFS($A$2:A163,A163,$E$2:E163,E163)=1,ROUNDUP(SUMIFS($G:$G,$A:$A,A163,$E:$E,E163)/I163,0),0)</f>
        <v>1</v>
      </c>
      <c r="L163" s="5">
        <f t="shared" si="18"/>
        <v>25.99</v>
      </c>
      <c r="M163" s="5">
        <f t="shared" si="19"/>
        <v>25.99</v>
      </c>
      <c r="N163" s="9"/>
    </row>
    <row r="164" spans="1:14" x14ac:dyDescent="0.2">
      <c r="A164" s="12" t="s">
        <v>35</v>
      </c>
      <c r="B164" s="12" t="s">
        <v>11</v>
      </c>
      <c r="C164" s="12" t="s">
        <v>605</v>
      </c>
      <c r="D164" s="12" t="s">
        <v>298</v>
      </c>
      <c r="E164" s="13" t="s">
        <v>530</v>
      </c>
      <c r="F164" s="14" t="str">
        <f>INDEX('Woolworths Products'!$B$2:$B$208,MATCH($E164,'Woolworths Products'!$A$2:$A$208,0))</f>
        <v>Frozen Petits Pois Peas 500 g</v>
      </c>
      <c r="G164" s="15">
        <v>140</v>
      </c>
      <c r="H164" s="14" t="str">
        <f>INDEX('Woolworths Products'!$G$2:$G$208,MATCH($E164,'Woolworths Products'!$A$2:$A$208,0))</f>
        <v>g</v>
      </c>
      <c r="I164" s="14">
        <f>INDEX('Woolworths Products'!$F$2:$F$208,MATCH($E164,'Woolworths Products'!$A$2:$A$208,0))</f>
        <v>500</v>
      </c>
      <c r="J164" s="14">
        <f>INDEX('Woolworths Products'!$E$2:$E$208,MATCH($E164,'Woolworths Products'!$A$2:$A$208,0))</f>
        <v>49.99</v>
      </c>
      <c r="K164" s="5">
        <f>IF(COUNTIFS($A$2:A164,A164,$E$2:E164,E164)=1,ROUNDUP(SUMIFS($G:$G,$A:$A,A164,$E:$E,E164)/I164,0),0)</f>
        <v>1</v>
      </c>
      <c r="L164" s="5">
        <f t="shared" si="18"/>
        <v>49.99</v>
      </c>
      <c r="M164" s="5">
        <f t="shared" si="19"/>
        <v>13.997200000000001</v>
      </c>
      <c r="N164" s="9"/>
    </row>
    <row r="165" spans="1:14" x14ac:dyDescent="0.2">
      <c r="A165" s="12" t="s">
        <v>35</v>
      </c>
      <c r="B165" s="12" t="s">
        <v>11</v>
      </c>
      <c r="C165" s="12" t="s">
        <v>606</v>
      </c>
      <c r="D165" s="12" t="s">
        <v>298</v>
      </c>
      <c r="E165" s="13" t="s">
        <v>304</v>
      </c>
      <c r="F165" s="14" t="str">
        <f>INDEX('Woolworths Products'!$B$2:$B$208,MATCH($E165,'Woolworths Products'!$A$2:$A$208,0))</f>
        <v>Medium Carrots 500 g</v>
      </c>
      <c r="G165" s="15">
        <v>240</v>
      </c>
      <c r="H165" s="14" t="str">
        <f>INDEX('Woolworths Products'!$G$2:$G$208,MATCH($E165,'Woolworths Products'!$A$2:$A$208,0))</f>
        <v>g</v>
      </c>
      <c r="I165" s="14">
        <f>INDEX('Woolworths Products'!$F$2:$F$208,MATCH($E165,'Woolworths Products'!$A$2:$A$208,0))</f>
        <v>500</v>
      </c>
      <c r="J165" s="14">
        <f>INDEX('Woolworths Products'!$E$2:$E$208,MATCH($E165,'Woolworths Products'!$A$2:$A$208,0))</f>
        <v>14.99</v>
      </c>
      <c r="K165" s="5">
        <f>IF(COUNTIFS($A$2:A165,A165,$E$2:E165,E165)=1,ROUNDUP(SUMIFS($G:$G,$A:$A,A165,$E:$E,E165)/I165,0),0)</f>
        <v>1</v>
      </c>
      <c r="L165" s="5">
        <f t="shared" si="18"/>
        <v>14.99</v>
      </c>
      <c r="M165" s="5">
        <f t="shared" si="19"/>
        <v>7.1951999999999998</v>
      </c>
      <c r="N165" s="9"/>
    </row>
    <row r="166" spans="1:14" x14ac:dyDescent="0.2">
      <c r="A166" s="16" t="s">
        <v>35</v>
      </c>
      <c r="B166" s="16" t="s">
        <v>11</v>
      </c>
      <c r="C166" s="16" t="s">
        <v>607</v>
      </c>
      <c r="D166" s="16" t="s">
        <v>396</v>
      </c>
      <c r="E166" s="17" t="s">
        <v>608</v>
      </c>
      <c r="F166" s="18" t="str">
        <f>INDEX('Woolworths Products'!$B$2:$B$208,MATCH($E166,'Woolworths Products'!$A$2:$A$208,0))</f>
        <v>Chicken A La King Cook In Sauce 37 g</v>
      </c>
      <c r="G166" s="19">
        <v>1</v>
      </c>
      <c r="H166" s="18" t="str">
        <f>INDEX('Woolworths Products'!$G$2:$G$208,MATCH($E166,'Woolworths Products'!$A$2:$A$208,0))</f>
        <v>ea</v>
      </c>
      <c r="I166" s="18">
        <f>INDEX('Woolworths Products'!$F$2:$F$208,MATCH($E166,'Woolworths Products'!$A$2:$A$208,0))</f>
        <v>1</v>
      </c>
      <c r="J166" s="18">
        <f>INDEX('Woolworths Products'!$E$2:$E$208,MATCH($E166,'Woolworths Products'!$A$2:$A$208,0))</f>
        <v>19.989999999999998</v>
      </c>
      <c r="K166" s="20">
        <f>IF(COUNTIFS($A$2:A166,A166,$E$2:E166,E166)=1,ROUNDUP(SUMIFS($G:$G,$A:$A,A166,$E:$E,E166)/I166,0),0)</f>
        <v>1</v>
      </c>
      <c r="L166" s="20">
        <f t="shared" si="18"/>
        <v>19.989999999999998</v>
      </c>
      <c r="M166" s="20">
        <f t="shared" si="19"/>
        <v>19.989999999999998</v>
      </c>
      <c r="N166" s="21" t="s">
        <v>609</v>
      </c>
    </row>
    <row r="167" spans="1:14" x14ac:dyDescent="0.2">
      <c r="A167" s="12" t="s">
        <v>35</v>
      </c>
      <c r="B167" s="12" t="s">
        <v>11</v>
      </c>
      <c r="C167" s="12" t="s">
        <v>610</v>
      </c>
      <c r="D167" s="12" t="s">
        <v>298</v>
      </c>
      <c r="E167" s="13" t="s">
        <v>611</v>
      </c>
      <c r="F167" s="14" t="str">
        <f>INDEX('Woolworths Products'!$B$2:$B$208,MATCH($E167,'Woolworths Products'!$A$2:$A$208,0))</f>
        <v>Long Life Low Fat Milk 1 L</v>
      </c>
      <c r="G167" s="15">
        <v>375</v>
      </c>
      <c r="H167" s="14" t="str">
        <f>INDEX('Woolworths Products'!$G$2:$G$208,MATCH($E167,'Woolworths Products'!$A$2:$A$208,0))</f>
        <v>ml</v>
      </c>
      <c r="I167" s="14">
        <f>INDEX('Woolworths Products'!$F$2:$F$208,MATCH($E167,'Woolworths Products'!$A$2:$A$208,0))</f>
        <v>1000</v>
      </c>
      <c r="J167" s="14">
        <f>INDEX('Woolworths Products'!$E$2:$E$208,MATCH($E167,'Woolworths Products'!$A$2:$A$208,0))</f>
        <v>22.99</v>
      </c>
      <c r="K167" s="5">
        <f>IF(COUNTIFS($A$2:A167,A167,$E$2:E167,E167)=1,ROUNDUP(SUMIFS($G:$G,$A:$A,A167,$E:$E,E167)/I167,0),0)</f>
        <v>1</v>
      </c>
      <c r="L167" s="5">
        <f t="shared" si="18"/>
        <v>22.99</v>
      </c>
      <c r="M167" s="5">
        <f t="shared" si="19"/>
        <v>8.6212499999999999</v>
      </c>
      <c r="N167" s="9"/>
    </row>
    <row r="168" spans="1:14" x14ac:dyDescent="0.2">
      <c r="A168" s="12" t="s">
        <v>35</v>
      </c>
      <c r="B168" s="12" t="s">
        <v>11</v>
      </c>
      <c r="C168" s="12" t="s">
        <v>612</v>
      </c>
      <c r="D168" s="12" t="s">
        <v>298</v>
      </c>
      <c r="E168" s="13" t="s">
        <v>489</v>
      </c>
      <c r="F168" s="14" t="str">
        <f>INDEX('Woolworths Products'!$B$2:$B$208,MATCH($E168,'Woolworths Products'!$A$2:$A$208,0))</f>
        <v>Large Potatoes 2 kg</v>
      </c>
      <c r="G168" s="15">
        <v>800</v>
      </c>
      <c r="H168" s="14" t="str">
        <f>INDEX('Woolworths Products'!$G$2:$G$208,MATCH($E168,'Woolworths Products'!$A$2:$A$208,0))</f>
        <v>g</v>
      </c>
      <c r="I168" s="14">
        <f>INDEX('Woolworths Products'!$F$2:$F$208,MATCH($E168,'Woolworths Products'!$A$2:$A$208,0))</f>
        <v>2000</v>
      </c>
      <c r="J168" s="14">
        <f>INDEX('Woolworths Products'!$E$2:$E$208,MATCH($E168,'Woolworths Products'!$A$2:$A$208,0))</f>
        <v>48.99</v>
      </c>
      <c r="K168" s="5">
        <f>IF(COUNTIFS($A$2:A168,A168,$E$2:E168,E168)=1,ROUNDUP(SUMIFS($G:$G,$A:$A,A168,$E:$E,E168)/I168,0),0)</f>
        <v>1</v>
      </c>
      <c r="L168" s="5">
        <f t="shared" si="18"/>
        <v>48.99</v>
      </c>
      <c r="M168" s="5">
        <f t="shared" si="19"/>
        <v>19.596000000000004</v>
      </c>
      <c r="N168" s="9" t="s">
        <v>613</v>
      </c>
    </row>
    <row r="169" spans="1:14" x14ac:dyDescent="0.2">
      <c r="A169" s="12" t="s">
        <v>35</v>
      </c>
      <c r="B169" s="12" t="s">
        <v>11</v>
      </c>
      <c r="C169" s="12" t="s">
        <v>614</v>
      </c>
      <c r="D169" s="12" t="s">
        <v>298</v>
      </c>
      <c r="E169" s="13" t="s">
        <v>509</v>
      </c>
      <c r="F169" s="14" t="str">
        <f>INDEX('Woolworths Products'!$B$2:$B$208,MATCH($E169,'Woolworths Products'!$A$2:$A$208,0))</f>
        <v>Grated Mature Cheddar Cheese 250 g</v>
      </c>
      <c r="G169" s="15">
        <v>80</v>
      </c>
      <c r="H169" s="14" t="str">
        <f>INDEX('Woolworths Products'!$G$2:$G$208,MATCH($E169,'Woolworths Products'!$A$2:$A$208,0))</f>
        <v>g</v>
      </c>
      <c r="I169" s="14">
        <f>INDEX('Woolworths Products'!$F$2:$F$208,MATCH($E169,'Woolworths Products'!$A$2:$A$208,0))</f>
        <v>250</v>
      </c>
      <c r="J169" s="14">
        <f>INDEX('Woolworths Products'!$E$2:$E$208,MATCH($E169,'Woolworths Products'!$A$2:$A$208,0))</f>
        <v>74.989999999999995</v>
      </c>
      <c r="K169" s="5">
        <f>IF(COUNTIFS($A$2:A169,A169,$E$2:E169,E169)=1,ROUNDUP(SUMIFS($G:$G,$A:$A,A169,$E:$E,E169)/I169,0),0)</f>
        <v>1</v>
      </c>
      <c r="L169" s="5">
        <f t="shared" si="18"/>
        <v>74.989999999999995</v>
      </c>
      <c r="M169" s="5">
        <f t="shared" si="19"/>
        <v>23.9968</v>
      </c>
      <c r="N169" s="9"/>
    </row>
    <row r="170" spans="1:14" x14ac:dyDescent="0.2">
      <c r="A170" s="16" t="s">
        <v>35</v>
      </c>
      <c r="B170" s="16" t="s">
        <v>11</v>
      </c>
      <c r="C170" s="16" t="s">
        <v>494</v>
      </c>
      <c r="D170" s="16" t="s">
        <v>298</v>
      </c>
      <c r="E170" s="17" t="s">
        <v>495</v>
      </c>
      <c r="F170" s="18" t="str">
        <f>INDEX('Woolworths Products'!$B$2:$B$208,MATCH($E170,'Woolworths Products'!$A$2:$A$208,0))</f>
        <v>Fresh Thyme 20 g</v>
      </c>
      <c r="G170" s="19">
        <v>0.25</v>
      </c>
      <c r="H170" s="18" t="str">
        <f>INDEX('Woolworths Products'!$G$2:$G$208,MATCH($E170,'Woolworths Products'!$A$2:$A$208,0))</f>
        <v>punnet</v>
      </c>
      <c r="I170" s="18">
        <f>INDEX('Woolworths Products'!$F$2:$F$208,MATCH($E170,'Woolworths Products'!$A$2:$A$208,0))</f>
        <v>1</v>
      </c>
      <c r="J170" s="18">
        <f>INDEX('Woolworths Products'!$E$2:$E$208,MATCH($E170,'Woolworths Products'!$A$2:$A$208,0))</f>
        <v>15.99</v>
      </c>
      <c r="K170" s="20">
        <f>IF(COUNTIFS($A$2:A170,A170,$E$2:E170,E170)=1,ROUNDUP(SUMIFS($G:$G,$A:$A,A170,$E:$E,E170)/I170,0),0)</f>
        <v>1</v>
      </c>
      <c r="L170" s="20">
        <f t="shared" si="18"/>
        <v>15.99</v>
      </c>
      <c r="M170" s="20">
        <f t="shared" si="19"/>
        <v>3.9975000000000001</v>
      </c>
      <c r="N170" s="21" t="s">
        <v>410</v>
      </c>
    </row>
    <row r="171" spans="1:14" x14ac:dyDescent="0.2">
      <c r="A171" s="12" t="s">
        <v>36</v>
      </c>
      <c r="B171" s="12" t="s">
        <v>11</v>
      </c>
      <c r="C171" s="12" t="s">
        <v>615</v>
      </c>
      <c r="D171" s="12" t="s">
        <v>298</v>
      </c>
      <c r="E171" s="13" t="s">
        <v>308</v>
      </c>
      <c r="F171" s="14" t="str">
        <f>INDEX('Woolworths Products'!$B$2:$B$208,MATCH($E171,'Woolworths Products'!$A$2:$A$208,0))</f>
        <v>Frozen Puff Pastry Roll 400 g</v>
      </c>
      <c r="G171" s="15">
        <v>1</v>
      </c>
      <c r="H171" s="14" t="str">
        <f>INDEX('Woolworths Products'!$G$2:$G$208,MATCH($E171,'Woolworths Products'!$A$2:$A$208,0))</f>
        <v>ea</v>
      </c>
      <c r="I171" s="14">
        <f>INDEX('Woolworths Products'!$F$2:$F$208,MATCH($E171,'Woolworths Products'!$A$2:$A$208,0))</f>
        <v>1</v>
      </c>
      <c r="J171" s="14">
        <f>INDEX('Woolworths Products'!$E$2:$E$208,MATCH($E171,'Woolworths Products'!$A$2:$A$208,0))</f>
        <v>42.99</v>
      </c>
      <c r="K171" s="5">
        <f>IF(COUNTIFS($A$2:A171,A171,$E$2:E171,E171)=1,ROUNDUP(SUMIFS($G:$G,$A:$A,A171,$E:$E,E171)/I171,0),0)</f>
        <v>1</v>
      </c>
      <c r="L171" s="5">
        <f t="shared" si="18"/>
        <v>42.99</v>
      </c>
      <c r="M171" s="5">
        <f t="shared" si="19"/>
        <v>42.99</v>
      </c>
      <c r="N171" s="9" t="s">
        <v>616</v>
      </c>
    </row>
    <row r="172" spans="1:14" x14ac:dyDescent="0.2">
      <c r="A172" s="12" t="s">
        <v>36</v>
      </c>
      <c r="B172" s="12" t="s">
        <v>11</v>
      </c>
      <c r="C172" s="12" t="s">
        <v>617</v>
      </c>
      <c r="D172" s="12" t="s">
        <v>298</v>
      </c>
      <c r="E172" s="13" t="s">
        <v>618</v>
      </c>
      <c r="F172" s="14" t="str">
        <f>INDEX('Woolworths Products'!$B$2:$B$208,MATCH($E172,'Woolworths Products'!$A$2:$A$208,0))</f>
        <v>Pork Sizzlers 6 pk</v>
      </c>
      <c r="G172" s="15">
        <v>1</v>
      </c>
      <c r="H172" s="14" t="str">
        <f>INDEX('Woolworths Products'!$G$2:$G$208,MATCH($E172,'Woolworths Products'!$A$2:$A$208,0))</f>
        <v>ea</v>
      </c>
      <c r="I172" s="14">
        <f>INDEX('Woolworths Products'!$F$2:$F$208,MATCH($E172,'Woolworths Products'!$A$2:$A$208,0))</f>
        <v>1</v>
      </c>
      <c r="J172" s="14">
        <f>INDEX('Woolworths Products'!$E$2:$E$208,MATCH($E172,'Woolworths Products'!$A$2:$A$208,0))</f>
        <v>49.99</v>
      </c>
      <c r="K172" s="5">
        <f>IF(COUNTIFS($A$2:A172,A172,$E$2:E172,E172)=1,ROUNDUP(SUMIFS($G:$G,$A:$A,A172,$E:$E,E172)/I172,0),0)</f>
        <v>1</v>
      </c>
      <c r="L172" s="5">
        <f t="shared" si="18"/>
        <v>49.99</v>
      </c>
      <c r="M172" s="5">
        <f t="shared" si="19"/>
        <v>49.99</v>
      </c>
      <c r="N172" s="9"/>
    </row>
    <row r="173" spans="1:14" x14ac:dyDescent="0.2">
      <c r="A173" s="12" t="s">
        <v>36</v>
      </c>
      <c r="B173" s="12" t="s">
        <v>11</v>
      </c>
      <c r="C173" s="12" t="s">
        <v>619</v>
      </c>
      <c r="D173" s="12" t="s">
        <v>298</v>
      </c>
      <c r="E173" s="13" t="s">
        <v>620</v>
      </c>
      <c r="F173" s="14" t="str">
        <f>INDEX('Woolworths Products'!$B$2:$B$208,MATCH($E173,'Woolworths Products'!$A$2:$A$208,0))</f>
        <v>Dijon Mustard 235 g</v>
      </c>
      <c r="G173" s="15">
        <v>5</v>
      </c>
      <c r="H173" s="14" t="str">
        <f>INDEX('Woolworths Products'!$G$2:$G$208,MATCH($E173,'Woolworths Products'!$A$2:$A$208,0))</f>
        <v>g</v>
      </c>
      <c r="I173" s="14">
        <f>INDEX('Woolworths Products'!$F$2:$F$208,MATCH($E173,'Woolworths Products'!$A$2:$A$208,0))</f>
        <v>235</v>
      </c>
      <c r="J173" s="14">
        <f>INDEX('Woolworths Products'!$E$2:$E$208,MATCH($E173,'Woolworths Products'!$A$2:$A$208,0))</f>
        <v>51.99</v>
      </c>
      <c r="K173" s="5">
        <f>IF(COUNTIFS($A$2:A173,A173,$E$2:E173,E173)=1,ROUNDUP(SUMIFS($G:$G,$A:$A,A173,$E:$E,E173)/I173,0),0)</f>
        <v>1</v>
      </c>
      <c r="L173" s="5">
        <f t="shared" si="18"/>
        <v>51.99</v>
      </c>
      <c r="M173" s="5">
        <f t="shared" si="19"/>
        <v>1.1061702127659574</v>
      </c>
      <c r="N173" s="9"/>
    </row>
    <row r="174" spans="1:14" x14ac:dyDescent="0.2">
      <c r="A174" s="12" t="s">
        <v>36</v>
      </c>
      <c r="B174" s="12" t="s">
        <v>11</v>
      </c>
      <c r="C174" s="12" t="s">
        <v>621</v>
      </c>
      <c r="D174" s="12" t="s">
        <v>298</v>
      </c>
      <c r="E174" s="13" t="s">
        <v>311</v>
      </c>
      <c r="F174" s="14" t="str">
        <f>INDEX('Woolworths Products'!$B$2:$B$208,MATCH($E174,'Woolworths Products'!$A$2:$A$208,0))</f>
        <v>Free Range Mixed Sizes Chilled Eggs 6 pk</v>
      </c>
      <c r="G174" s="15">
        <v>1</v>
      </c>
      <c r="H174" s="14" t="str">
        <f>INDEX('Woolworths Products'!$G$2:$G$208,MATCH($E174,'Woolworths Products'!$A$2:$A$208,0))</f>
        <v>ea</v>
      </c>
      <c r="I174" s="14">
        <f>INDEX('Woolworths Products'!$F$2:$F$208,MATCH($E174,'Woolworths Products'!$A$2:$A$208,0))</f>
        <v>6</v>
      </c>
      <c r="J174" s="14">
        <f>INDEX('Woolworths Products'!$E$2:$E$208,MATCH($E174,'Woolworths Products'!$A$2:$A$208,0))</f>
        <v>29.99</v>
      </c>
      <c r="K174" s="5">
        <f>IF(COUNTIFS($A$2:A174,A174,$E$2:E174,E174)=1,ROUNDUP(SUMIFS($G:$G,$A:$A,A174,$E:$E,E174)/I174,0),0)</f>
        <v>1</v>
      </c>
      <c r="L174" s="5">
        <f t="shared" si="18"/>
        <v>29.99</v>
      </c>
      <c r="M174" s="5">
        <f t="shared" si="19"/>
        <v>4.9983333333333331</v>
      </c>
      <c r="N174" s="9"/>
    </row>
    <row r="175" spans="1:14" x14ac:dyDescent="0.2">
      <c r="A175" s="16" t="s">
        <v>36</v>
      </c>
      <c r="B175" s="16" t="s">
        <v>11</v>
      </c>
      <c r="C175" s="16" t="s">
        <v>622</v>
      </c>
      <c r="D175" s="16" t="s">
        <v>298</v>
      </c>
      <c r="E175" s="17" t="s">
        <v>380</v>
      </c>
      <c r="F175" s="18" t="str">
        <f>INDEX('Woolworths Products'!$B$2:$B$208,MATCH($E175,'Woolworths Products'!$A$2:$A$208,0))</f>
        <v>All Gold Original Tomato Sauce 500 ml</v>
      </c>
      <c r="G175" s="19">
        <v>30</v>
      </c>
      <c r="H175" s="18" t="str">
        <f>INDEX('Woolworths Products'!$G$2:$G$208,MATCH($E175,'Woolworths Products'!$A$2:$A$208,0))</f>
        <v>ml</v>
      </c>
      <c r="I175" s="18">
        <f>INDEX('Woolworths Products'!$F$2:$F$208,MATCH($E175,'Woolworths Products'!$A$2:$A$208,0))</f>
        <v>500</v>
      </c>
      <c r="J175" s="18">
        <f>INDEX('Woolworths Products'!$E$2:$E$208,MATCH($E175,'Woolworths Products'!$A$2:$A$208,0))</f>
        <v>37.99</v>
      </c>
      <c r="K175" s="20">
        <f>IF(COUNTIFS($A$2:A175,A175,$E$2:E175,E175)=1,ROUNDUP(SUMIFS($G:$G,$A:$A,A175,$E:$E,E175)/I175,0),0)</f>
        <v>1</v>
      </c>
      <c r="L175" s="20">
        <f t="shared" si="18"/>
        <v>37.99</v>
      </c>
      <c r="M175" s="20">
        <f t="shared" si="19"/>
        <v>2.2793999999999999</v>
      </c>
      <c r="N175" s="21" t="s">
        <v>623</v>
      </c>
    </row>
    <row r="176" spans="1:14" ht="28" x14ac:dyDescent="0.2">
      <c r="A176" s="16" t="s">
        <v>36</v>
      </c>
      <c r="B176" s="16" t="s">
        <v>11</v>
      </c>
      <c r="C176" s="16" t="s">
        <v>624</v>
      </c>
      <c r="D176" s="16" t="s">
        <v>396</v>
      </c>
      <c r="E176" s="17" t="s">
        <v>625</v>
      </c>
      <c r="F176" s="18" t="str">
        <f>INDEX('Woolworths Products'!$B$2:$B$208,MATCH($E176,'Woolworths Products'!$A$2:$A$208,0))</f>
        <v>German Mustard 235 g</v>
      </c>
      <c r="G176" s="19">
        <v>15</v>
      </c>
      <c r="H176" s="18" t="str">
        <f>INDEX('Woolworths Products'!$G$2:$G$208,MATCH($E176,'Woolworths Products'!$A$2:$A$208,0))</f>
        <v>g</v>
      </c>
      <c r="I176" s="18">
        <f>INDEX('Woolworths Products'!$F$2:$F$208,MATCH($E176,'Woolworths Products'!$A$2:$A$208,0))</f>
        <v>235</v>
      </c>
      <c r="J176" s="18">
        <f>INDEX('Woolworths Products'!$E$2:$E$208,MATCH($E176,'Woolworths Products'!$A$2:$A$208,0))</f>
        <v>51.99</v>
      </c>
      <c r="K176" s="20">
        <f>IF(COUNTIFS($A$2:A176,A176,$E$2:E176,E176)=1,ROUNDUP(SUMIFS($G:$G,$A:$A,A176,$E:$E,E176)/I176,0),0)</f>
        <v>1</v>
      </c>
      <c r="L176" s="20">
        <f t="shared" si="18"/>
        <v>51.99</v>
      </c>
      <c r="M176" s="20">
        <f t="shared" si="19"/>
        <v>3.3185106382978722</v>
      </c>
      <c r="N176" s="21" t="s">
        <v>626</v>
      </c>
    </row>
    <row r="177" spans="1:14" x14ac:dyDescent="0.2">
      <c r="A177" s="12" t="s">
        <v>37</v>
      </c>
      <c r="B177" s="12" t="s">
        <v>14</v>
      </c>
      <c r="C177" s="12" t="s">
        <v>627</v>
      </c>
      <c r="D177" s="12" t="s">
        <v>298</v>
      </c>
      <c r="E177" s="13" t="s">
        <v>489</v>
      </c>
      <c r="F177" s="14" t="str">
        <f>INDEX('Woolworths Products'!$B$2:$B$208,MATCH($E177,'Woolworths Products'!$A$2:$A$208,0))</f>
        <v>Large Potatoes 2 kg</v>
      </c>
      <c r="G177" s="15">
        <v>675</v>
      </c>
      <c r="H177" s="14" t="str">
        <f>INDEX('Woolworths Products'!$G$2:$G$208,MATCH($E177,'Woolworths Products'!$A$2:$A$208,0))</f>
        <v>g</v>
      </c>
      <c r="I177" s="14">
        <f>INDEX('Woolworths Products'!$F$2:$F$208,MATCH($E177,'Woolworths Products'!$A$2:$A$208,0))</f>
        <v>2000</v>
      </c>
      <c r="J177" s="14">
        <f>INDEX('Woolworths Products'!$E$2:$E$208,MATCH($E177,'Woolworths Products'!$A$2:$A$208,0))</f>
        <v>48.99</v>
      </c>
      <c r="K177" s="5">
        <f>IF(COUNTIFS($A$2:A177,A177,$E$2:E177,E177)=1,ROUNDUP(SUMIFS($G:$G,$A:$A,A177,$E:$E,E177)/I177,0),0)</f>
        <v>1</v>
      </c>
      <c r="L177" s="5">
        <f t="shared" si="18"/>
        <v>48.99</v>
      </c>
      <c r="M177" s="5">
        <f t="shared" si="19"/>
        <v>16.534125000000003</v>
      </c>
      <c r="N177" s="9" t="s">
        <v>628</v>
      </c>
    </row>
    <row r="178" spans="1:14" x14ac:dyDescent="0.2">
      <c r="A178" s="12" t="s">
        <v>37</v>
      </c>
      <c r="B178" s="12" t="s">
        <v>14</v>
      </c>
      <c r="C178" s="12" t="s">
        <v>629</v>
      </c>
      <c r="D178" s="12" t="s">
        <v>298</v>
      </c>
      <c r="E178" s="13" t="s">
        <v>343</v>
      </c>
      <c r="F178" s="14" t="str">
        <f>INDEX('Woolworths Products'!$B$2:$B$208,MATCH($E178,'Woolworths Products'!$A$2:$A$208,0))</f>
        <v>Brown Onions 1 kg</v>
      </c>
      <c r="G178" s="15">
        <v>150</v>
      </c>
      <c r="H178" s="14" t="str">
        <f>INDEX('Woolworths Products'!$G$2:$G$208,MATCH($E178,'Woolworths Products'!$A$2:$A$208,0))</f>
        <v>g</v>
      </c>
      <c r="I178" s="14">
        <f>INDEX('Woolworths Products'!$F$2:$F$208,MATCH($E178,'Woolworths Products'!$A$2:$A$208,0))</f>
        <v>1000</v>
      </c>
      <c r="J178" s="14">
        <f>INDEX('Woolworths Products'!$E$2:$E$208,MATCH($E178,'Woolworths Products'!$A$2:$A$208,0))</f>
        <v>39.9</v>
      </c>
      <c r="K178" s="5">
        <f>IF(COUNTIFS($A$2:A178,A178,$E$2:E178,E178)=1,ROUNDUP(SUMIFS($G:$G,$A:$A,A178,$E:$E,E178)/I178,0),0)</f>
        <v>1</v>
      </c>
      <c r="L178" s="5">
        <f t="shared" si="18"/>
        <v>39.9</v>
      </c>
      <c r="M178" s="5">
        <f t="shared" si="19"/>
        <v>5.9849999999999994</v>
      </c>
      <c r="N178" s="9" t="s">
        <v>344</v>
      </c>
    </row>
    <row r="179" spans="1:14" x14ac:dyDescent="0.2">
      <c r="A179" s="16" t="s">
        <v>37</v>
      </c>
      <c r="B179" s="16" t="s">
        <v>14</v>
      </c>
      <c r="C179" s="16" t="s">
        <v>630</v>
      </c>
      <c r="D179" s="16" t="s">
        <v>298</v>
      </c>
      <c r="E179" s="17" t="s">
        <v>377</v>
      </c>
      <c r="F179" s="18" t="str">
        <f>INDEX('Woolworths Products'!$B$2:$B$208,MATCH($E179,'Woolworths Products'!$A$2:$A$208,0))</f>
        <v>Fresh Peeled Garlic 50 g</v>
      </c>
      <c r="G179" s="19">
        <v>2</v>
      </c>
      <c r="H179" s="18" t="str">
        <f>INDEX('Woolworths Products'!$G$2:$G$208,MATCH($E179,'Woolworths Products'!$A$2:$A$208,0))</f>
        <v>clove</v>
      </c>
      <c r="I179" s="18">
        <f>INDEX('Woolworths Products'!$F$2:$F$208,MATCH($E179,'Woolworths Products'!$A$2:$A$208,0))</f>
        <v>10</v>
      </c>
      <c r="J179" s="18">
        <f>INDEX('Woolworths Products'!$E$2:$E$208,MATCH($E179,'Woolworths Products'!$A$2:$A$208,0))</f>
        <v>29.99</v>
      </c>
      <c r="K179" s="20">
        <f>IF(COUNTIFS($A$2:A179,A179,$E$2:E179,E179)=1,ROUNDUP(SUMIFS($G:$G,$A:$A,A179,$E:$E,E179)/I179,0),0)</f>
        <v>1</v>
      </c>
      <c r="L179" s="20">
        <f t="shared" si="18"/>
        <v>29.99</v>
      </c>
      <c r="M179" s="20">
        <f t="shared" si="19"/>
        <v>5.9980000000000002</v>
      </c>
      <c r="N179" s="21" t="s">
        <v>464</v>
      </c>
    </row>
    <row r="180" spans="1:14" x14ac:dyDescent="0.2">
      <c r="A180" s="16" t="s">
        <v>37</v>
      </c>
      <c r="B180" s="16" t="s">
        <v>14</v>
      </c>
      <c r="C180" s="16" t="s">
        <v>631</v>
      </c>
      <c r="D180" s="16" t="s">
        <v>396</v>
      </c>
      <c r="E180" s="17" t="s">
        <v>632</v>
      </c>
      <c r="F180" s="18" t="str">
        <f>INDEX('Woolworths Products'!$B$2:$B$208,MATCH($E180,'Woolworths Products'!$A$2:$A$208,0))</f>
        <v>Brown Onion Flavoured Thickener 40 g</v>
      </c>
      <c r="G180" s="19">
        <v>1</v>
      </c>
      <c r="H180" s="18" t="str">
        <f>INDEX('Woolworths Products'!$G$2:$G$208,MATCH($E180,'Woolworths Products'!$A$2:$A$208,0))</f>
        <v>ea</v>
      </c>
      <c r="I180" s="18">
        <f>INDEX('Woolworths Products'!$F$2:$F$208,MATCH($E180,'Woolworths Products'!$A$2:$A$208,0))</f>
        <v>1</v>
      </c>
      <c r="J180" s="18">
        <f>INDEX('Woolworths Products'!$E$2:$E$208,MATCH($E180,'Woolworths Products'!$A$2:$A$208,0))</f>
        <v>23.99</v>
      </c>
      <c r="K180" s="20">
        <f>IF(COUNTIFS($A$2:A180,A180,$E$2:E180,E180)=1,ROUNDUP(SUMIFS($G:$G,$A:$A,A180,$E:$E,E180)/I180,0),0)</f>
        <v>1</v>
      </c>
      <c r="L180" s="20">
        <f t="shared" si="18"/>
        <v>23.99</v>
      </c>
      <c r="M180" s="20">
        <f t="shared" si="19"/>
        <v>23.99</v>
      </c>
      <c r="N180" s="21" t="s">
        <v>633</v>
      </c>
    </row>
    <row r="181" spans="1:14" x14ac:dyDescent="0.2">
      <c r="A181" s="12" t="s">
        <v>37</v>
      </c>
      <c r="B181" s="12" t="s">
        <v>14</v>
      </c>
      <c r="C181" s="12" t="s">
        <v>634</v>
      </c>
      <c r="D181" s="12" t="s">
        <v>298</v>
      </c>
      <c r="E181" s="13" t="s">
        <v>388</v>
      </c>
      <c r="F181" s="14" t="str">
        <f>INDEX('Woolworths Products'!$B$2:$B$208,MATCH($E181,'Woolworths Products'!$A$2:$A$208,0))</f>
        <v>Long Life Full Cream Milk 1 L</v>
      </c>
      <c r="G181" s="15">
        <v>500</v>
      </c>
      <c r="H181" s="14" t="str">
        <f>INDEX('Woolworths Products'!$G$2:$G$208,MATCH($E181,'Woolworths Products'!$A$2:$A$208,0))</f>
        <v>ml</v>
      </c>
      <c r="I181" s="14">
        <f>INDEX('Woolworths Products'!$F$2:$F$208,MATCH($E181,'Woolworths Products'!$A$2:$A$208,0))</f>
        <v>1000</v>
      </c>
      <c r="J181" s="14">
        <f>INDEX('Woolworths Products'!$E$2:$E$208,MATCH($E181,'Woolworths Products'!$A$2:$A$208,0))</f>
        <v>22.99</v>
      </c>
      <c r="K181" s="5">
        <f>IF(COUNTIFS($A$2:A181,A181,$E$2:E181,E181)=1,ROUNDUP(SUMIFS($G:$G,$A:$A,A181,$E:$E,E181)/I181,0),0)</f>
        <v>1</v>
      </c>
      <c r="L181" s="5">
        <f t="shared" si="18"/>
        <v>22.99</v>
      </c>
      <c r="M181" s="5">
        <f t="shared" si="19"/>
        <v>11.494999999999999</v>
      </c>
      <c r="N181" s="9"/>
    </row>
    <row r="182" spans="1:14" x14ac:dyDescent="0.2">
      <c r="A182" s="16" t="s">
        <v>37</v>
      </c>
      <c r="B182" s="16" t="s">
        <v>14</v>
      </c>
      <c r="C182" s="16" t="s">
        <v>635</v>
      </c>
      <c r="D182" s="16" t="s">
        <v>298</v>
      </c>
      <c r="E182" s="17" t="s">
        <v>509</v>
      </c>
      <c r="F182" s="18" t="str">
        <f>INDEX('Woolworths Products'!$B$2:$B$208,MATCH($E182,'Woolworths Products'!$A$2:$A$208,0))</f>
        <v>Grated Mature Cheddar Cheese 250 g</v>
      </c>
      <c r="G182" s="19">
        <v>80</v>
      </c>
      <c r="H182" s="18" t="str">
        <f>INDEX('Woolworths Products'!$G$2:$G$208,MATCH($E182,'Woolworths Products'!$A$2:$A$208,0))</f>
        <v>g</v>
      </c>
      <c r="I182" s="18">
        <f>INDEX('Woolworths Products'!$F$2:$F$208,MATCH($E182,'Woolworths Products'!$A$2:$A$208,0))</f>
        <v>250</v>
      </c>
      <c r="J182" s="18">
        <f>INDEX('Woolworths Products'!$E$2:$E$208,MATCH($E182,'Woolworths Products'!$A$2:$A$208,0))</f>
        <v>74.989999999999995</v>
      </c>
      <c r="K182" s="20">
        <f>IF(COUNTIFS($A$2:A182,A182,$E$2:E182,E182)=1,ROUNDUP(SUMIFS($G:$G,$A:$A,A182,$E:$E,E182)/I182,0),0)</f>
        <v>1</v>
      </c>
      <c r="L182" s="20">
        <f t="shared" si="18"/>
        <v>74.989999999999995</v>
      </c>
      <c r="M182" s="20">
        <f t="shared" si="19"/>
        <v>23.9968</v>
      </c>
      <c r="N182" s="21" t="s">
        <v>636</v>
      </c>
    </row>
    <row r="183" spans="1:14" x14ac:dyDescent="0.2">
      <c r="A183" s="16" t="s">
        <v>37</v>
      </c>
      <c r="B183" s="16" t="s">
        <v>14</v>
      </c>
      <c r="C183" s="16" t="s">
        <v>494</v>
      </c>
      <c r="D183" s="16" t="s">
        <v>298</v>
      </c>
      <c r="E183" s="17" t="s">
        <v>495</v>
      </c>
      <c r="F183" s="18" t="str">
        <f>INDEX('Woolworths Products'!$B$2:$B$208,MATCH($E183,'Woolworths Products'!$A$2:$A$208,0))</f>
        <v>Fresh Thyme 20 g</v>
      </c>
      <c r="G183" s="19">
        <v>0.25</v>
      </c>
      <c r="H183" s="18" t="str">
        <f>INDEX('Woolworths Products'!$G$2:$G$208,MATCH($E183,'Woolworths Products'!$A$2:$A$208,0))</f>
        <v>punnet</v>
      </c>
      <c r="I183" s="18">
        <f>INDEX('Woolworths Products'!$F$2:$F$208,MATCH($E183,'Woolworths Products'!$A$2:$A$208,0))</f>
        <v>1</v>
      </c>
      <c r="J183" s="18">
        <f>INDEX('Woolworths Products'!$E$2:$E$208,MATCH($E183,'Woolworths Products'!$A$2:$A$208,0))</f>
        <v>15.99</v>
      </c>
      <c r="K183" s="20">
        <f>IF(COUNTIFS($A$2:A183,A183,$E$2:E183,E183)=1,ROUNDUP(SUMIFS($G:$G,$A:$A,A183,$E:$E,E183)/I183,0),0)</f>
        <v>1</v>
      </c>
      <c r="L183" s="20">
        <f t="shared" si="18"/>
        <v>15.99</v>
      </c>
      <c r="M183" s="20">
        <f t="shared" si="19"/>
        <v>3.9975000000000001</v>
      </c>
      <c r="N183" s="21" t="s">
        <v>410</v>
      </c>
    </row>
    <row r="184" spans="1:14" x14ac:dyDescent="0.2">
      <c r="A184" s="13" t="s">
        <v>37</v>
      </c>
      <c r="B184" s="13" t="s">
        <v>14</v>
      </c>
      <c r="C184" s="13" t="s">
        <v>393</v>
      </c>
      <c r="D184" s="13" t="s">
        <v>349</v>
      </c>
      <c r="E184" s="13"/>
      <c r="L184" s="5">
        <v>0</v>
      </c>
      <c r="M184" s="5">
        <v>0</v>
      </c>
      <c r="N184" s="9" t="s">
        <v>393</v>
      </c>
    </row>
    <row r="185" spans="1:14" x14ac:dyDescent="0.2">
      <c r="A185" s="12" t="s">
        <v>38</v>
      </c>
      <c r="B185" s="12" t="s">
        <v>11</v>
      </c>
      <c r="C185" s="12" t="s">
        <v>637</v>
      </c>
      <c r="D185" s="12" t="s">
        <v>298</v>
      </c>
      <c r="E185" s="13" t="s">
        <v>638</v>
      </c>
      <c r="F185" s="14" t="str">
        <f>INDEX('Woolworths Products'!$B$2:$B$208,MATCH($E185,'Woolworths Products'!$A$2:$A$208,0))</f>
        <v>Mushroom Soup 600 g</v>
      </c>
      <c r="G185" s="15">
        <v>1</v>
      </c>
      <c r="H185" s="14" t="str">
        <f>INDEX('Woolworths Products'!$G$2:$G$208,MATCH($E185,'Woolworths Products'!$A$2:$A$208,0))</f>
        <v>ea</v>
      </c>
      <c r="I185" s="14">
        <f>INDEX('Woolworths Products'!$F$2:$F$208,MATCH($E185,'Woolworths Products'!$A$2:$A$208,0))</f>
        <v>1</v>
      </c>
      <c r="J185" s="14">
        <f>INDEX('Woolworths Products'!$E$2:$E$208,MATCH($E185,'Woolworths Products'!$A$2:$A$208,0))</f>
        <v>84.99</v>
      </c>
      <c r="K185" s="5">
        <f>IF(COUNTIFS($A$2:A185,A185,$E$2:E185,E185)=1,ROUNDUP(SUMIFS($G:$G,$A:$A,A185,$E:$E,E185)/I185,0),0)</f>
        <v>1</v>
      </c>
      <c r="L185" s="5">
        <f t="shared" ref="L185:L207" si="20">K185*J185</f>
        <v>84.99</v>
      </c>
      <c r="M185" s="5">
        <f t="shared" ref="M185:M207" si="21">G185/I185*J185</f>
        <v>84.99</v>
      </c>
      <c r="N185" s="9"/>
    </row>
    <row r="186" spans="1:14" x14ac:dyDescent="0.2">
      <c r="A186" s="12" t="s">
        <v>38</v>
      </c>
      <c r="B186" s="12" t="s">
        <v>11</v>
      </c>
      <c r="C186" s="12" t="s">
        <v>639</v>
      </c>
      <c r="D186" s="12" t="s">
        <v>298</v>
      </c>
      <c r="E186" s="13" t="s">
        <v>343</v>
      </c>
      <c r="F186" s="14" t="str">
        <f>INDEX('Woolworths Products'!$B$2:$B$208,MATCH($E186,'Woolworths Products'!$A$2:$A$208,0))</f>
        <v>Brown Onions 1 kg</v>
      </c>
      <c r="G186" s="15">
        <v>150</v>
      </c>
      <c r="H186" s="14" t="str">
        <f>INDEX('Woolworths Products'!$G$2:$G$208,MATCH($E186,'Woolworths Products'!$A$2:$A$208,0))</f>
        <v>g</v>
      </c>
      <c r="I186" s="14">
        <f>INDEX('Woolworths Products'!$F$2:$F$208,MATCH($E186,'Woolworths Products'!$A$2:$A$208,0))</f>
        <v>1000</v>
      </c>
      <c r="J186" s="14">
        <f>INDEX('Woolworths Products'!$E$2:$E$208,MATCH($E186,'Woolworths Products'!$A$2:$A$208,0))</f>
        <v>39.9</v>
      </c>
      <c r="K186" s="5">
        <f>IF(COUNTIFS($A$2:A186,A186,$E$2:E186,E186)=1,ROUNDUP(SUMIFS($G:$G,$A:$A,A186,$E:$E,E186)/I186,0),0)</f>
        <v>1</v>
      </c>
      <c r="L186" s="5">
        <f t="shared" si="20"/>
        <v>39.9</v>
      </c>
      <c r="M186" s="5">
        <f t="shared" si="21"/>
        <v>5.9849999999999994</v>
      </c>
      <c r="N186" s="9" t="s">
        <v>344</v>
      </c>
    </row>
    <row r="187" spans="1:14" x14ac:dyDescent="0.2">
      <c r="A187" s="12" t="s">
        <v>38</v>
      </c>
      <c r="B187" s="12" t="s">
        <v>11</v>
      </c>
      <c r="C187" s="12" t="s">
        <v>640</v>
      </c>
      <c r="D187" s="12" t="s">
        <v>298</v>
      </c>
      <c r="E187" s="13" t="s">
        <v>641</v>
      </c>
      <c r="F187" s="14" t="str">
        <f>INDEX('Woolworths Products'!$B$2:$B$208,MATCH($E187,'Woolworths Products'!$A$2:$A$208,0))</f>
        <v>Sliced Button Mushrooms 250 g</v>
      </c>
      <c r="G187" s="15">
        <v>1</v>
      </c>
      <c r="H187" s="14" t="str">
        <f>INDEX('Woolworths Products'!$G$2:$G$208,MATCH($E187,'Woolworths Products'!$A$2:$A$208,0))</f>
        <v>ea</v>
      </c>
      <c r="I187" s="14">
        <f>INDEX('Woolworths Products'!$F$2:$F$208,MATCH($E187,'Woolworths Products'!$A$2:$A$208,0))</f>
        <v>1</v>
      </c>
      <c r="J187" s="14">
        <f>INDEX('Woolworths Products'!$E$2:$E$208,MATCH($E187,'Woolworths Products'!$A$2:$A$208,0))</f>
        <v>38.99</v>
      </c>
      <c r="K187" s="5">
        <f>IF(COUNTIFS($A$2:A187,A187,$E$2:E187,E187)=1,ROUNDUP(SUMIFS($G:$G,$A:$A,A187,$E:$E,E187)/I187,0),0)</f>
        <v>1</v>
      </c>
      <c r="L187" s="5">
        <f t="shared" si="20"/>
        <v>38.99</v>
      </c>
      <c r="M187" s="5">
        <f t="shared" si="21"/>
        <v>38.99</v>
      </c>
      <c r="N187" s="9"/>
    </row>
    <row r="188" spans="1:14" x14ac:dyDescent="0.2">
      <c r="A188" s="12" t="s">
        <v>38</v>
      </c>
      <c r="B188" s="12" t="s">
        <v>11</v>
      </c>
      <c r="C188" s="12" t="s">
        <v>642</v>
      </c>
      <c r="D188" s="12" t="s">
        <v>298</v>
      </c>
      <c r="E188" s="13" t="s">
        <v>643</v>
      </c>
      <c r="F188" s="14" t="str">
        <f>INDEX('Woolworths Products'!$B$2:$B$208,MATCH($E188,'Woolworths Products'!$A$2:$A$208,0))</f>
        <v>Free Range Beef Stroganoff Avg 500 g</v>
      </c>
      <c r="G188" s="15">
        <v>200</v>
      </c>
      <c r="H188" s="14" t="str">
        <f>INDEX('Woolworths Products'!$G$2:$G$208,MATCH($E188,'Woolworths Products'!$A$2:$A$208,0))</f>
        <v>g</v>
      </c>
      <c r="I188" s="14">
        <f>INDEX('Woolworths Products'!$F$2:$F$208,MATCH($E188,'Woolworths Products'!$A$2:$A$208,0))</f>
        <v>500</v>
      </c>
      <c r="J188" s="14">
        <f>INDEX('Woolworths Products'!$E$2:$E$208,MATCH($E188,'Woolworths Products'!$A$2:$A$208,0))</f>
        <v>120</v>
      </c>
      <c r="K188" s="5">
        <f>IF(COUNTIFS($A$2:A188,A188,$E$2:E188,E188)=1,ROUNDUP(SUMIFS($G:$G,$A:$A,A188,$E:$E,E188)/I188,0),0)</f>
        <v>1</v>
      </c>
      <c r="L188" s="5">
        <f t="shared" si="20"/>
        <v>120</v>
      </c>
      <c r="M188" s="5">
        <f t="shared" si="21"/>
        <v>48</v>
      </c>
      <c r="N188" s="9" t="s">
        <v>644</v>
      </c>
    </row>
    <row r="189" spans="1:14" x14ac:dyDescent="0.2">
      <c r="A189" s="12" t="s">
        <v>38</v>
      </c>
      <c r="B189" s="12" t="s">
        <v>11</v>
      </c>
      <c r="C189" s="12" t="s">
        <v>645</v>
      </c>
      <c r="D189" s="12" t="s">
        <v>298</v>
      </c>
      <c r="E189" s="13" t="s">
        <v>495</v>
      </c>
      <c r="F189" s="14" t="str">
        <f>INDEX('Woolworths Products'!$B$2:$B$208,MATCH($E189,'Woolworths Products'!$A$2:$A$208,0))</f>
        <v>Fresh Thyme 20 g</v>
      </c>
      <c r="G189" s="15">
        <v>0.5</v>
      </c>
      <c r="H189" s="14" t="str">
        <f>INDEX('Woolworths Products'!$G$2:$G$208,MATCH($E189,'Woolworths Products'!$A$2:$A$208,0))</f>
        <v>punnet</v>
      </c>
      <c r="I189" s="14">
        <f>INDEX('Woolworths Products'!$F$2:$F$208,MATCH($E189,'Woolworths Products'!$A$2:$A$208,0))</f>
        <v>1</v>
      </c>
      <c r="J189" s="14">
        <f>INDEX('Woolworths Products'!$E$2:$E$208,MATCH($E189,'Woolworths Products'!$A$2:$A$208,0))</f>
        <v>15.99</v>
      </c>
      <c r="K189" s="5">
        <f>IF(COUNTIFS($A$2:A189,A189,$E$2:E189,E189)=1,ROUNDUP(SUMIFS($G:$G,$A:$A,A189,$E:$E,E189)/I189,0),0)</f>
        <v>1</v>
      </c>
      <c r="L189" s="5">
        <f t="shared" si="20"/>
        <v>15.99</v>
      </c>
      <c r="M189" s="5">
        <f t="shared" si="21"/>
        <v>7.9950000000000001</v>
      </c>
      <c r="N189" s="9"/>
    </row>
    <row r="190" spans="1:14" x14ac:dyDescent="0.2">
      <c r="A190" s="12" t="s">
        <v>38</v>
      </c>
      <c r="B190" s="12" t="s">
        <v>11</v>
      </c>
      <c r="C190" s="12" t="s">
        <v>646</v>
      </c>
      <c r="D190" s="12" t="s">
        <v>298</v>
      </c>
      <c r="E190" s="13" t="s">
        <v>492</v>
      </c>
      <c r="F190" s="14" t="str">
        <f>INDEX('Woolworths Products'!$B$2:$B$208,MATCH($E190,'Woolworths Products'!$A$2:$A$208,0))</f>
        <v>South African Grated Medium Fat Hard Cheese 60 g</v>
      </c>
      <c r="G190" s="15">
        <v>10</v>
      </c>
      <c r="H190" s="14" t="str">
        <f>INDEX('Woolworths Products'!$G$2:$G$208,MATCH($E190,'Woolworths Products'!$A$2:$A$208,0))</f>
        <v>g</v>
      </c>
      <c r="I190" s="14">
        <f>INDEX('Woolworths Products'!$F$2:$F$208,MATCH($E190,'Woolworths Products'!$A$2:$A$208,0))</f>
        <v>60</v>
      </c>
      <c r="J190" s="14">
        <f>INDEX('Woolworths Products'!$E$2:$E$208,MATCH($E190,'Woolworths Products'!$A$2:$A$208,0))</f>
        <v>49.99</v>
      </c>
      <c r="K190" s="5">
        <f>IF(COUNTIFS($A$2:A190,A190,$E$2:E190,E190)=1,ROUNDUP(SUMIFS($G:$G,$A:$A,A190,$E:$E,E190)/I190,0),0)</f>
        <v>1</v>
      </c>
      <c r="L190" s="5">
        <f t="shared" si="20"/>
        <v>49.99</v>
      </c>
      <c r="M190" s="5">
        <f t="shared" si="21"/>
        <v>8.331666666666667</v>
      </c>
      <c r="N190" s="9" t="s">
        <v>647</v>
      </c>
    </row>
    <row r="191" spans="1:14" x14ac:dyDescent="0.2">
      <c r="A191" s="16" t="s">
        <v>38</v>
      </c>
      <c r="B191" s="16" t="s">
        <v>11</v>
      </c>
      <c r="C191" s="16" t="s">
        <v>648</v>
      </c>
      <c r="D191" s="16" t="s">
        <v>298</v>
      </c>
      <c r="E191" s="17" t="s">
        <v>330</v>
      </c>
      <c r="F191" s="18" t="str">
        <f>INDEX('Woolworths Products'!$B$2:$B$208,MATCH($E191,'Woolworths Products'!$A$2:$A$208,0))</f>
        <v>Prince Albert Extra Virgin Olive Oil 250 ml</v>
      </c>
      <c r="G191" s="19">
        <v>15</v>
      </c>
      <c r="H191" s="18" t="str">
        <f>INDEX('Woolworths Products'!$G$2:$G$208,MATCH($E191,'Woolworths Products'!$A$2:$A$208,0))</f>
        <v>ml</v>
      </c>
      <c r="I191" s="18">
        <f>INDEX('Woolworths Products'!$F$2:$F$208,MATCH($E191,'Woolworths Products'!$A$2:$A$208,0))</f>
        <v>250</v>
      </c>
      <c r="J191" s="18">
        <f>INDEX('Woolworths Products'!$E$2:$E$208,MATCH($E191,'Woolworths Products'!$A$2:$A$208,0))</f>
        <v>109.99</v>
      </c>
      <c r="K191" s="20">
        <f>IF(COUNTIFS($A$2:A191,A191,$E$2:E191,E191)=1,ROUNDUP(SUMIFS($G:$G,$A:$A,A191,$E:$E,E191)/I191,0),0)</f>
        <v>1</v>
      </c>
      <c r="L191" s="20">
        <f t="shared" si="20"/>
        <v>109.99</v>
      </c>
      <c r="M191" s="20">
        <f t="shared" si="21"/>
        <v>6.5993999999999993</v>
      </c>
      <c r="N191" s="21" t="s">
        <v>326</v>
      </c>
    </row>
    <row r="192" spans="1:14" x14ac:dyDescent="0.2">
      <c r="A192" s="16" t="s">
        <v>39</v>
      </c>
      <c r="B192" s="16" t="s">
        <v>11</v>
      </c>
      <c r="C192" s="16" t="s">
        <v>649</v>
      </c>
      <c r="D192" s="16" t="s">
        <v>298</v>
      </c>
      <c r="E192" s="17" t="s">
        <v>650</v>
      </c>
      <c r="F192" s="18" t="str">
        <f>INDEX('Woolworths Products'!$B$2:$B$208,MATCH($E192,'Woolworths Products'!$A$2:$A$208,0))</f>
        <v>Free Range Chicken Thighs Avg 500 g</v>
      </c>
      <c r="G192" s="19">
        <v>1</v>
      </c>
      <c r="H192" s="18" t="str">
        <f>INDEX('Woolworths Products'!$G$2:$G$208,MATCH($E192,'Woolworths Products'!$A$2:$A$208,0))</f>
        <v>ea</v>
      </c>
      <c r="I192" s="18">
        <f>INDEX('Woolworths Products'!$F$2:$F$208,MATCH($E192,'Woolworths Products'!$A$2:$A$208,0))</f>
        <v>1</v>
      </c>
      <c r="J192" s="18">
        <f>INDEX('Woolworths Products'!$E$2:$E$208,MATCH($E192,'Woolworths Products'!$A$2:$A$208,0))</f>
        <v>82.5</v>
      </c>
      <c r="K192" s="20">
        <f>IF(COUNTIFS($A$2:A192,A192,$E$2:E192,E192)=1,ROUNDUP(SUMIFS($G:$G,$A:$A,A192,$E:$E,E192)/I192,0),0)</f>
        <v>1</v>
      </c>
      <c r="L192" s="20">
        <f t="shared" si="20"/>
        <v>82.5</v>
      </c>
      <c r="M192" s="20">
        <f t="shared" si="21"/>
        <v>82.5</v>
      </c>
      <c r="N192" s="21" t="s">
        <v>651</v>
      </c>
    </row>
    <row r="193" spans="1:14" x14ac:dyDescent="0.2">
      <c r="A193" s="16" t="s">
        <v>39</v>
      </c>
      <c r="B193" s="16" t="s">
        <v>11</v>
      </c>
      <c r="C193" s="16" t="s">
        <v>652</v>
      </c>
      <c r="D193" s="16" t="s">
        <v>298</v>
      </c>
      <c r="E193" s="17" t="s">
        <v>653</v>
      </c>
      <c r="F193" s="18" t="str">
        <f>INDEX('Woolworths Products'!$B$2:$B$208,MATCH($E193,'Woolworths Products'!$A$2:$A$208,0))</f>
        <v>Tikka Paste 200 g</v>
      </c>
      <c r="G193" s="19">
        <v>30</v>
      </c>
      <c r="H193" s="18" t="str">
        <f>INDEX('Woolworths Products'!$G$2:$G$208,MATCH($E193,'Woolworths Products'!$A$2:$A$208,0))</f>
        <v>g</v>
      </c>
      <c r="I193" s="18">
        <f>INDEX('Woolworths Products'!$F$2:$F$208,MATCH($E193,'Woolworths Products'!$A$2:$A$208,0))</f>
        <v>200</v>
      </c>
      <c r="J193" s="18">
        <f>INDEX('Woolworths Products'!$E$2:$E$208,MATCH($E193,'Woolworths Products'!$A$2:$A$208,0))</f>
        <v>59.99</v>
      </c>
      <c r="K193" s="20">
        <f>IF(COUNTIFS($A$2:A193,A193,$E$2:E193,E193)=1,ROUNDUP(SUMIFS($G:$G,$A:$A,A193,$E:$E,E193)/I193,0),0)</f>
        <v>1</v>
      </c>
      <c r="L193" s="20">
        <f t="shared" si="20"/>
        <v>59.99</v>
      </c>
      <c r="M193" s="20">
        <f t="shared" si="21"/>
        <v>8.9984999999999999</v>
      </c>
      <c r="N193" s="21" t="s">
        <v>623</v>
      </c>
    </row>
    <row r="194" spans="1:14" x14ac:dyDescent="0.2">
      <c r="A194" s="16" t="s">
        <v>39</v>
      </c>
      <c r="B194" s="16" t="s">
        <v>11</v>
      </c>
      <c r="C194" s="16" t="s">
        <v>654</v>
      </c>
      <c r="D194" s="16" t="s">
        <v>298</v>
      </c>
      <c r="E194" s="17" t="s">
        <v>418</v>
      </c>
      <c r="F194" s="18" t="str">
        <f>INDEX('Woolworths Products'!$B$2:$B$208,MATCH($E194,'Woolworths Products'!$A$2:$A$208,0))</f>
        <v>Ayrshire Full Cream Plain Yoghurt 500 g</v>
      </c>
      <c r="G194" s="19">
        <v>125</v>
      </c>
      <c r="H194" s="18" t="str">
        <f>INDEX('Woolworths Products'!$G$2:$G$208,MATCH($E194,'Woolworths Products'!$A$2:$A$208,0))</f>
        <v>g</v>
      </c>
      <c r="I194" s="18">
        <f>INDEX('Woolworths Products'!$F$2:$F$208,MATCH($E194,'Woolworths Products'!$A$2:$A$208,0))</f>
        <v>500</v>
      </c>
      <c r="J194" s="18">
        <f>INDEX('Woolworths Products'!$E$2:$E$208,MATCH($E194,'Woolworths Products'!$A$2:$A$208,0))</f>
        <v>39.99</v>
      </c>
      <c r="K194" s="20">
        <f>IF(COUNTIFS($A$2:A194,A194,$E$2:E194,E194)=1,ROUNDUP(SUMIFS($G:$G,$A:$A,A194,$E:$E,E194)/I194,0),0)</f>
        <v>1</v>
      </c>
      <c r="L194" s="20">
        <f t="shared" si="20"/>
        <v>39.99</v>
      </c>
      <c r="M194" s="20">
        <f t="shared" si="21"/>
        <v>9.9975000000000005</v>
      </c>
      <c r="N194" s="21" t="s">
        <v>500</v>
      </c>
    </row>
    <row r="195" spans="1:14" x14ac:dyDescent="0.2">
      <c r="A195" s="16" t="s">
        <v>39</v>
      </c>
      <c r="B195" s="16" t="s">
        <v>11</v>
      </c>
      <c r="C195" s="16" t="s">
        <v>408</v>
      </c>
      <c r="D195" s="16" t="s">
        <v>298</v>
      </c>
      <c r="E195" s="17" t="s">
        <v>409</v>
      </c>
      <c r="F195" s="18" t="str">
        <f>INDEX('Woolworths Products'!$B$2:$B$208,MATCH($E195,'Woolworths Products'!$A$2:$A$208,0))</f>
        <v>Fresh Coriander 30 g</v>
      </c>
      <c r="G195" s="19">
        <v>0.5</v>
      </c>
      <c r="H195" s="18" t="str">
        <f>INDEX('Woolworths Products'!$G$2:$G$208,MATCH($E195,'Woolworths Products'!$A$2:$A$208,0))</f>
        <v>punnet</v>
      </c>
      <c r="I195" s="18">
        <f>INDEX('Woolworths Products'!$F$2:$F$208,MATCH($E195,'Woolworths Products'!$A$2:$A$208,0))</f>
        <v>1</v>
      </c>
      <c r="J195" s="18">
        <f>INDEX('Woolworths Products'!$E$2:$E$208,MATCH($E195,'Woolworths Products'!$A$2:$A$208,0))</f>
        <v>15.99</v>
      </c>
      <c r="K195" s="20">
        <f>IF(COUNTIFS($A$2:A195,A195,$E$2:E195,E195)=1,ROUNDUP(SUMIFS($G:$G,$A:$A,A195,$E:$E,E195)/I195,0),0)</f>
        <v>1</v>
      </c>
      <c r="L195" s="20">
        <f t="shared" si="20"/>
        <v>15.99</v>
      </c>
      <c r="M195" s="20">
        <f t="shared" si="21"/>
        <v>7.9950000000000001</v>
      </c>
      <c r="N195" s="21" t="s">
        <v>425</v>
      </c>
    </row>
    <row r="196" spans="1:14" ht="28" x14ac:dyDescent="0.2">
      <c r="A196" s="16" t="s">
        <v>39</v>
      </c>
      <c r="B196" s="16" t="s">
        <v>11</v>
      </c>
      <c r="C196" s="16" t="s">
        <v>655</v>
      </c>
      <c r="D196" s="16" t="s">
        <v>298</v>
      </c>
      <c r="E196" s="17" t="s">
        <v>656</v>
      </c>
      <c r="F196" s="18" t="str">
        <f>INDEX('Woolworths Products'!$B$2:$B$208,MATCH($E196,'Woolworths Products'!$A$2:$A$208,0))</f>
        <v>Fresh Butter Rotis 6 x 75 g</v>
      </c>
      <c r="G196" s="19">
        <v>6</v>
      </c>
      <c r="H196" s="18" t="str">
        <f>INDEX('Woolworths Products'!$G$2:$G$208,MATCH($E196,'Woolworths Products'!$A$2:$A$208,0))</f>
        <v>ea</v>
      </c>
      <c r="I196" s="18">
        <f>INDEX('Woolworths Products'!$F$2:$F$208,MATCH($E196,'Woolworths Products'!$A$2:$A$208,0))</f>
        <v>6</v>
      </c>
      <c r="J196" s="18">
        <f>INDEX('Woolworths Products'!$E$2:$E$208,MATCH($E196,'Woolworths Products'!$A$2:$A$208,0))</f>
        <v>76.989999999999995</v>
      </c>
      <c r="K196" s="20">
        <f>IF(COUNTIFS($A$2:A196,A196,$E$2:E196,E196)=1,ROUNDUP(SUMIFS($G:$G,$A:$A,A196,$E:$E,E196)/I196,0),0)</f>
        <v>1</v>
      </c>
      <c r="L196" s="20">
        <f t="shared" si="20"/>
        <v>76.989999999999995</v>
      </c>
      <c r="M196" s="20">
        <f t="shared" si="21"/>
        <v>76.989999999999995</v>
      </c>
      <c r="N196" s="21" t="s">
        <v>657</v>
      </c>
    </row>
    <row r="197" spans="1:14" x14ac:dyDescent="0.2">
      <c r="A197" s="16" t="s">
        <v>40</v>
      </c>
      <c r="B197" s="16" t="s">
        <v>11</v>
      </c>
      <c r="C197" s="16" t="s">
        <v>658</v>
      </c>
      <c r="D197" s="16" t="s">
        <v>396</v>
      </c>
      <c r="E197" s="17" t="s">
        <v>659</v>
      </c>
      <c r="F197" s="18" t="str">
        <f>INDEX('Woolworths Products'!$B$2:$B$208,MATCH($E197,'Woolworths Products'!$A$2:$A$208,0))</f>
        <v>Butter Chicken Cook-in-Sauce 400 g</v>
      </c>
      <c r="G197" s="19">
        <v>1</v>
      </c>
      <c r="H197" s="18" t="str">
        <f>INDEX('Woolworths Products'!$G$2:$G$208,MATCH($E197,'Woolworths Products'!$A$2:$A$208,0))</f>
        <v>ea</v>
      </c>
      <c r="I197" s="18">
        <f>INDEX('Woolworths Products'!$F$2:$F$208,MATCH($E197,'Woolworths Products'!$A$2:$A$208,0))</f>
        <v>1</v>
      </c>
      <c r="J197" s="18">
        <f>INDEX('Woolworths Products'!$E$2:$E$208,MATCH($E197,'Woolworths Products'!$A$2:$A$208,0))</f>
        <v>60.99</v>
      </c>
      <c r="K197" s="20">
        <f>IF(COUNTIFS($A$2:A197,A197,$E$2:E197,E197)=1,ROUNDUP(SUMIFS($G:$G,$A:$A,A197,$E:$E,E197)/I197,0),0)</f>
        <v>1</v>
      </c>
      <c r="L197" s="20">
        <f t="shared" si="20"/>
        <v>60.99</v>
      </c>
      <c r="M197" s="20">
        <f t="shared" si="21"/>
        <v>60.99</v>
      </c>
      <c r="N197" s="21" t="s">
        <v>660</v>
      </c>
    </row>
    <row r="198" spans="1:14" x14ac:dyDescent="0.2">
      <c r="A198" s="12" t="s">
        <v>40</v>
      </c>
      <c r="B198" s="12" t="s">
        <v>11</v>
      </c>
      <c r="C198" s="12" t="s">
        <v>661</v>
      </c>
      <c r="D198" s="12" t="s">
        <v>298</v>
      </c>
      <c r="E198" s="13" t="s">
        <v>306</v>
      </c>
      <c r="F198" s="14" t="str">
        <f>INDEX('Woolworths Products'!$B$2:$B$208,MATCH($E198,'Woolworths Products'!$A$2:$A$208,0))</f>
        <v>Medium Rotisserie Chicken</v>
      </c>
      <c r="G198" s="15">
        <v>1</v>
      </c>
      <c r="H198" s="14" t="str">
        <f>INDEX('Woolworths Products'!$G$2:$G$208,MATCH($E198,'Woolworths Products'!$A$2:$A$208,0))</f>
        <v>ea</v>
      </c>
      <c r="I198" s="14">
        <f>INDEX('Woolworths Products'!$F$2:$F$208,MATCH($E198,'Woolworths Products'!$A$2:$A$208,0))</f>
        <v>1</v>
      </c>
      <c r="J198" s="14">
        <f>INDEX('Woolworths Products'!$E$2:$E$208,MATCH($E198,'Woolworths Products'!$A$2:$A$208,0))</f>
        <v>119.99</v>
      </c>
      <c r="K198" s="5">
        <f>IF(COUNTIFS($A$2:A198,A198,$E$2:E198,E198)=1,ROUNDUP(SUMIFS($G:$G,$A:$A,A198,$E:$E,E198)/I198,0),0)</f>
        <v>1</v>
      </c>
      <c r="L198" s="5">
        <f t="shared" si="20"/>
        <v>119.99</v>
      </c>
      <c r="M198" s="5">
        <f t="shared" si="21"/>
        <v>119.99</v>
      </c>
      <c r="N198" s="9" t="s">
        <v>662</v>
      </c>
    </row>
    <row r="199" spans="1:14" x14ac:dyDescent="0.2">
      <c r="A199" s="12" t="s">
        <v>40</v>
      </c>
      <c r="B199" s="12" t="s">
        <v>11</v>
      </c>
      <c r="C199" s="12" t="s">
        <v>529</v>
      </c>
      <c r="D199" s="12" t="s">
        <v>298</v>
      </c>
      <c r="E199" s="13" t="s">
        <v>530</v>
      </c>
      <c r="F199" s="14" t="str">
        <f>INDEX('Woolworths Products'!$B$2:$B$208,MATCH($E199,'Woolworths Products'!$A$2:$A$208,0))</f>
        <v>Frozen Petits Pois Peas 500 g</v>
      </c>
      <c r="G199" s="15">
        <v>140</v>
      </c>
      <c r="H199" s="14" t="str">
        <f>INDEX('Woolworths Products'!$G$2:$G$208,MATCH($E199,'Woolworths Products'!$A$2:$A$208,0))</f>
        <v>g</v>
      </c>
      <c r="I199" s="14">
        <f>INDEX('Woolworths Products'!$F$2:$F$208,MATCH($E199,'Woolworths Products'!$A$2:$A$208,0))</f>
        <v>500</v>
      </c>
      <c r="J199" s="14">
        <f>INDEX('Woolworths Products'!$E$2:$E$208,MATCH($E199,'Woolworths Products'!$A$2:$A$208,0))</f>
        <v>49.99</v>
      </c>
      <c r="K199" s="5">
        <f>IF(COUNTIFS($A$2:A199,A199,$E$2:E199,E199)=1,ROUNDUP(SUMIFS($G:$G,$A:$A,A199,$E:$E,E199)/I199,0),0)</f>
        <v>1</v>
      </c>
      <c r="L199" s="5">
        <f t="shared" si="20"/>
        <v>49.99</v>
      </c>
      <c r="M199" s="5">
        <f t="shared" si="21"/>
        <v>13.997200000000001</v>
      </c>
      <c r="N199" s="9"/>
    </row>
    <row r="200" spans="1:14" x14ac:dyDescent="0.2">
      <c r="A200" s="12" t="s">
        <v>40</v>
      </c>
      <c r="B200" s="12" t="s">
        <v>11</v>
      </c>
      <c r="C200" s="12" t="s">
        <v>663</v>
      </c>
      <c r="D200" s="12" t="s">
        <v>298</v>
      </c>
      <c r="E200" s="13" t="s">
        <v>409</v>
      </c>
      <c r="F200" s="14" t="str">
        <f>INDEX('Woolworths Products'!$B$2:$B$208,MATCH($E200,'Woolworths Products'!$A$2:$A$208,0))</f>
        <v>Fresh Coriander 30 g</v>
      </c>
      <c r="G200" s="15">
        <v>0.5</v>
      </c>
      <c r="H200" s="14" t="str">
        <f>INDEX('Woolworths Products'!$G$2:$G$208,MATCH($E200,'Woolworths Products'!$A$2:$A$208,0))</f>
        <v>punnet</v>
      </c>
      <c r="I200" s="14">
        <f>INDEX('Woolworths Products'!$F$2:$F$208,MATCH($E200,'Woolworths Products'!$A$2:$A$208,0))</f>
        <v>1</v>
      </c>
      <c r="J200" s="14">
        <f>INDEX('Woolworths Products'!$E$2:$E$208,MATCH($E200,'Woolworths Products'!$A$2:$A$208,0))</f>
        <v>15.99</v>
      </c>
      <c r="K200" s="5">
        <f>IF(COUNTIFS($A$2:A200,A200,$E$2:E200,E200)=1,ROUNDUP(SUMIFS($G:$G,$A:$A,A200,$E:$E,E200)/I200,0),0)</f>
        <v>1</v>
      </c>
      <c r="L200" s="5">
        <f t="shared" si="20"/>
        <v>15.99</v>
      </c>
      <c r="M200" s="5">
        <f t="shared" si="21"/>
        <v>7.9950000000000001</v>
      </c>
      <c r="N200" s="9"/>
    </row>
    <row r="201" spans="1:14" x14ac:dyDescent="0.2">
      <c r="A201" s="16" t="s">
        <v>41</v>
      </c>
      <c r="B201" s="16" t="s">
        <v>11</v>
      </c>
      <c r="C201" s="16" t="s">
        <v>664</v>
      </c>
      <c r="D201" s="16" t="s">
        <v>396</v>
      </c>
      <c r="E201" s="17" t="s">
        <v>665</v>
      </c>
      <c r="F201" s="18" t="str">
        <f>INDEX('Woolworths Products'!$B$2:$B$208,MATCH($E201,'Woolworths Products'!$A$2:$A$208,0))</f>
        <v>Moroccan Style Chickpea and Chicken Soup 400 g</v>
      </c>
      <c r="G201" s="19">
        <v>1</v>
      </c>
      <c r="H201" s="18" t="str">
        <f>INDEX('Woolworths Products'!$G$2:$G$208,MATCH($E201,'Woolworths Products'!$A$2:$A$208,0))</f>
        <v>ea</v>
      </c>
      <c r="I201" s="18">
        <f>INDEX('Woolworths Products'!$F$2:$F$208,MATCH($E201,'Woolworths Products'!$A$2:$A$208,0))</f>
        <v>1</v>
      </c>
      <c r="J201" s="18">
        <f>INDEX('Woolworths Products'!$E$2:$E$208,MATCH($E201,'Woolworths Products'!$A$2:$A$208,0))</f>
        <v>38.99</v>
      </c>
      <c r="K201" s="20">
        <f>IF(COUNTIFS($A$2:A201,A201,$E$2:E201,E201)=1,ROUNDUP(SUMIFS($G:$G,$A:$A,A201,$E:$E,E201)/I201,0),0)</f>
        <v>1</v>
      </c>
      <c r="L201" s="20">
        <f t="shared" si="20"/>
        <v>38.99</v>
      </c>
      <c r="M201" s="20">
        <f t="shared" si="21"/>
        <v>38.99</v>
      </c>
      <c r="N201" s="21" t="s">
        <v>666</v>
      </c>
    </row>
    <row r="202" spans="1:14" x14ac:dyDescent="0.2">
      <c r="A202" s="12" t="s">
        <v>41</v>
      </c>
      <c r="B202" s="12" t="s">
        <v>11</v>
      </c>
      <c r="C202" s="12" t="s">
        <v>667</v>
      </c>
      <c r="D202" s="12" t="s">
        <v>298</v>
      </c>
      <c r="E202" s="13" t="s">
        <v>668</v>
      </c>
      <c r="F202" s="14" t="str">
        <f>INDEX('Woolworths Products'!$B$2:$B$208,MATCH($E202,'Woolworths Products'!$A$2:$A$208,0))</f>
        <v>Free Range Lamb Frikkadels 12 pk</v>
      </c>
      <c r="G202" s="15">
        <v>12</v>
      </c>
      <c r="H202" s="14" t="str">
        <f>INDEX('Woolworths Products'!$G$2:$G$208,MATCH($E202,'Woolworths Products'!$A$2:$A$208,0))</f>
        <v>ea</v>
      </c>
      <c r="I202" s="14">
        <f>INDEX('Woolworths Products'!$F$2:$F$208,MATCH($E202,'Woolworths Products'!$A$2:$A$208,0))</f>
        <v>12</v>
      </c>
      <c r="J202" s="14">
        <f>INDEX('Woolworths Products'!$E$2:$E$208,MATCH($E202,'Woolworths Products'!$A$2:$A$208,0))</f>
        <v>139.99</v>
      </c>
      <c r="K202" s="5">
        <f>IF(COUNTIFS($A$2:A202,A202,$E$2:E202,E202)=1,ROUNDUP(SUMIFS($G:$G,$A:$A,A202,$E:$E,E202)/I202,0),0)</f>
        <v>1</v>
      </c>
      <c r="L202" s="5">
        <f t="shared" si="20"/>
        <v>139.99</v>
      </c>
      <c r="M202" s="5">
        <f t="shared" si="21"/>
        <v>139.99</v>
      </c>
      <c r="N202" s="9"/>
    </row>
    <row r="203" spans="1:14" x14ac:dyDescent="0.2">
      <c r="A203" s="12" t="s">
        <v>41</v>
      </c>
      <c r="B203" s="12" t="s">
        <v>11</v>
      </c>
      <c r="C203" s="12" t="s">
        <v>669</v>
      </c>
      <c r="D203" s="12" t="s">
        <v>298</v>
      </c>
      <c r="E203" s="13" t="s">
        <v>670</v>
      </c>
      <c r="F203" s="14" t="str">
        <f>INDEX('Woolworths Products'!$B$2:$B$208,MATCH($E203,'Woolworths Products'!$A$2:$A$208,0))</f>
        <v>Rosa Tomatoes 400 g</v>
      </c>
      <c r="G203" s="15">
        <v>1</v>
      </c>
      <c r="H203" s="14" t="str">
        <f>INDEX('Woolworths Products'!$G$2:$G$208,MATCH($E203,'Woolworths Products'!$A$2:$A$208,0))</f>
        <v>ea</v>
      </c>
      <c r="I203" s="14">
        <f>INDEX('Woolworths Products'!$F$2:$F$208,MATCH($E203,'Woolworths Products'!$A$2:$A$208,0))</f>
        <v>1</v>
      </c>
      <c r="J203" s="14">
        <f>INDEX('Woolworths Products'!$E$2:$E$208,MATCH($E203,'Woolworths Products'!$A$2:$A$208,0))</f>
        <v>44.99</v>
      </c>
      <c r="K203" s="5">
        <f>IF(COUNTIFS($A$2:A203,A203,$E$2:E203,E203)=1,ROUNDUP(SUMIFS($G:$G,$A:$A,A203,$E:$E,E203)/I203,0),0)</f>
        <v>1</v>
      </c>
      <c r="L203" s="5">
        <f t="shared" si="20"/>
        <v>44.99</v>
      </c>
      <c r="M203" s="5">
        <f t="shared" si="21"/>
        <v>44.99</v>
      </c>
      <c r="N203" s="9"/>
    </row>
    <row r="204" spans="1:14" x14ac:dyDescent="0.2">
      <c r="A204" s="12" t="s">
        <v>41</v>
      </c>
      <c r="B204" s="12" t="s">
        <v>11</v>
      </c>
      <c r="C204" s="12" t="s">
        <v>671</v>
      </c>
      <c r="D204" s="12" t="s">
        <v>298</v>
      </c>
      <c r="E204" s="13" t="s">
        <v>672</v>
      </c>
      <c r="F204" s="14" t="str">
        <f>INDEX('Woolworths Products'!$B$2:$B$208,MATCH($E204,'Woolworths Products'!$A$2:$A$208,0))</f>
        <v>Fresh Mint 20 g</v>
      </c>
      <c r="G204" s="15">
        <v>0.5</v>
      </c>
      <c r="H204" s="14" t="str">
        <f>INDEX('Woolworths Products'!$G$2:$G$208,MATCH($E204,'Woolworths Products'!$A$2:$A$208,0))</f>
        <v>punnet</v>
      </c>
      <c r="I204" s="14">
        <f>INDEX('Woolworths Products'!$F$2:$F$208,MATCH($E204,'Woolworths Products'!$A$2:$A$208,0))</f>
        <v>1</v>
      </c>
      <c r="J204" s="14">
        <f>INDEX('Woolworths Products'!$E$2:$E$208,MATCH($E204,'Woolworths Products'!$A$2:$A$208,0))</f>
        <v>15.99</v>
      </c>
      <c r="K204" s="5">
        <f>IF(COUNTIFS($A$2:A204,A204,$E$2:E204,E204)=1,ROUNDUP(SUMIFS($G:$G,$A:$A,A204,$E:$E,E204)/I204,0),0)</f>
        <v>1</v>
      </c>
      <c r="L204" s="5">
        <f t="shared" si="20"/>
        <v>15.99</v>
      </c>
      <c r="M204" s="5">
        <f t="shared" si="21"/>
        <v>7.9950000000000001</v>
      </c>
      <c r="N204" s="9"/>
    </row>
    <row r="205" spans="1:14" x14ac:dyDescent="0.2">
      <c r="A205" s="12" t="s">
        <v>41</v>
      </c>
      <c r="B205" s="12" t="s">
        <v>11</v>
      </c>
      <c r="C205" s="12" t="s">
        <v>673</v>
      </c>
      <c r="D205" s="12" t="s">
        <v>298</v>
      </c>
      <c r="E205" s="13" t="s">
        <v>492</v>
      </c>
      <c r="F205" s="14" t="str">
        <f>INDEX('Woolworths Products'!$B$2:$B$208,MATCH($E205,'Woolworths Products'!$A$2:$A$208,0))</f>
        <v>South African Grated Medium Fat Hard Cheese 60 g</v>
      </c>
      <c r="G205" s="15">
        <v>12</v>
      </c>
      <c r="H205" s="14" t="str">
        <f>INDEX('Woolworths Products'!$G$2:$G$208,MATCH($E205,'Woolworths Products'!$A$2:$A$208,0))</f>
        <v>g</v>
      </c>
      <c r="I205" s="14">
        <f>INDEX('Woolworths Products'!$F$2:$F$208,MATCH($E205,'Woolworths Products'!$A$2:$A$208,0))</f>
        <v>60</v>
      </c>
      <c r="J205" s="14">
        <f>INDEX('Woolworths Products'!$E$2:$E$208,MATCH($E205,'Woolworths Products'!$A$2:$A$208,0))</f>
        <v>49.99</v>
      </c>
      <c r="K205" s="5">
        <f>IF(COUNTIFS($A$2:A205,A205,$E$2:E205,E205)=1,ROUNDUP(SUMIFS($G:$G,$A:$A,A205,$E:$E,E205)/I205,0),0)</f>
        <v>1</v>
      </c>
      <c r="L205" s="5">
        <f t="shared" si="20"/>
        <v>49.99</v>
      </c>
      <c r="M205" s="5">
        <f t="shared" si="21"/>
        <v>9.9980000000000011</v>
      </c>
      <c r="N205" s="9" t="s">
        <v>647</v>
      </c>
    </row>
    <row r="206" spans="1:14" x14ac:dyDescent="0.2">
      <c r="A206" s="12" t="s">
        <v>42</v>
      </c>
      <c r="B206" s="12" t="s">
        <v>11</v>
      </c>
      <c r="C206" s="12" t="s">
        <v>558</v>
      </c>
      <c r="D206" s="12" t="s">
        <v>298</v>
      </c>
      <c r="E206" s="13" t="s">
        <v>343</v>
      </c>
      <c r="F206" s="14" t="str">
        <f>INDEX('Woolworths Products'!$B$2:$B$208,MATCH($E206,'Woolworths Products'!$A$2:$A$208,0))</f>
        <v>Brown Onions 1 kg</v>
      </c>
      <c r="G206" s="15">
        <v>300</v>
      </c>
      <c r="H206" s="14" t="str">
        <f>INDEX('Woolworths Products'!$G$2:$G$208,MATCH($E206,'Woolworths Products'!$A$2:$A$208,0))</f>
        <v>g</v>
      </c>
      <c r="I206" s="14">
        <f>INDEX('Woolworths Products'!$F$2:$F$208,MATCH($E206,'Woolworths Products'!$A$2:$A$208,0))</f>
        <v>1000</v>
      </c>
      <c r="J206" s="14">
        <f>INDEX('Woolworths Products'!$E$2:$E$208,MATCH($E206,'Woolworths Products'!$A$2:$A$208,0))</f>
        <v>39.9</v>
      </c>
      <c r="K206" s="5">
        <f>IF(COUNTIFS($A$2:A206,A206,$E$2:E206,E206)=1,ROUNDUP(SUMIFS($G:$G,$A:$A,A206,$E:$E,E206)/I206,0),0)</f>
        <v>1</v>
      </c>
      <c r="L206" s="5">
        <f t="shared" si="20"/>
        <v>39.9</v>
      </c>
      <c r="M206" s="5">
        <f t="shared" si="21"/>
        <v>11.969999999999999</v>
      </c>
      <c r="N206" s="9" t="s">
        <v>344</v>
      </c>
    </row>
    <row r="207" spans="1:14" x14ac:dyDescent="0.2">
      <c r="A207" s="16" t="s">
        <v>42</v>
      </c>
      <c r="B207" s="16" t="s">
        <v>11</v>
      </c>
      <c r="C207" s="16" t="s">
        <v>648</v>
      </c>
      <c r="D207" s="16" t="s">
        <v>298</v>
      </c>
      <c r="E207" s="17" t="s">
        <v>330</v>
      </c>
      <c r="F207" s="18" t="str">
        <f>INDEX('Woolworths Products'!$B$2:$B$208,MATCH($E207,'Woolworths Products'!$A$2:$A$208,0))</f>
        <v>Prince Albert Extra Virgin Olive Oil 250 ml</v>
      </c>
      <c r="G207" s="19">
        <v>15</v>
      </c>
      <c r="H207" s="18" t="str">
        <f>INDEX('Woolworths Products'!$G$2:$G$208,MATCH($E207,'Woolworths Products'!$A$2:$A$208,0))</f>
        <v>ml</v>
      </c>
      <c r="I207" s="18">
        <f>INDEX('Woolworths Products'!$F$2:$F$208,MATCH($E207,'Woolworths Products'!$A$2:$A$208,0))</f>
        <v>250</v>
      </c>
      <c r="J207" s="18">
        <f>INDEX('Woolworths Products'!$E$2:$E$208,MATCH($E207,'Woolworths Products'!$A$2:$A$208,0))</f>
        <v>109.99</v>
      </c>
      <c r="K207" s="20">
        <f>IF(COUNTIFS($A$2:A207,A207,$E$2:E207,E207)=1,ROUNDUP(SUMIFS($G:$G,$A:$A,A207,$E:$E,E207)/I207,0),0)</f>
        <v>1</v>
      </c>
      <c r="L207" s="20">
        <f t="shared" si="20"/>
        <v>109.99</v>
      </c>
      <c r="M207" s="20">
        <f t="shared" si="21"/>
        <v>6.5993999999999993</v>
      </c>
      <c r="N207" s="21" t="s">
        <v>326</v>
      </c>
    </row>
    <row r="208" spans="1:14" x14ac:dyDescent="0.2">
      <c r="A208" s="13" t="s">
        <v>42</v>
      </c>
      <c r="B208" s="13" t="s">
        <v>11</v>
      </c>
      <c r="C208" s="13" t="s">
        <v>348</v>
      </c>
      <c r="D208" s="13" t="s">
        <v>349</v>
      </c>
      <c r="E208" s="13"/>
      <c r="L208" s="5">
        <v>0</v>
      </c>
      <c r="M208" s="5">
        <v>0</v>
      </c>
      <c r="N208" s="9" t="s">
        <v>348</v>
      </c>
    </row>
    <row r="209" spans="1:14" x14ac:dyDescent="0.2">
      <c r="A209" s="12" t="s">
        <v>42</v>
      </c>
      <c r="B209" s="12" t="s">
        <v>11</v>
      </c>
      <c r="C209" s="12" t="s">
        <v>472</v>
      </c>
      <c r="D209" s="12" t="s">
        <v>298</v>
      </c>
      <c r="E209" s="13" t="s">
        <v>377</v>
      </c>
      <c r="F209" s="14" t="str">
        <f>INDEX('Woolworths Products'!$B$2:$B$208,MATCH($E209,'Woolworths Products'!$A$2:$A$208,0))</f>
        <v>Fresh Peeled Garlic 50 g</v>
      </c>
      <c r="G209" s="15">
        <v>2.5</v>
      </c>
      <c r="H209" s="14" t="str">
        <f>INDEX('Woolworths Products'!$G$2:$G$208,MATCH($E209,'Woolworths Products'!$A$2:$A$208,0))</f>
        <v>clove</v>
      </c>
      <c r="I209" s="14">
        <f>INDEX('Woolworths Products'!$F$2:$F$208,MATCH($E209,'Woolworths Products'!$A$2:$A$208,0))</f>
        <v>10</v>
      </c>
      <c r="J209" s="14">
        <f>INDEX('Woolworths Products'!$E$2:$E$208,MATCH($E209,'Woolworths Products'!$A$2:$A$208,0))</f>
        <v>29.99</v>
      </c>
      <c r="K209" s="5">
        <f>IF(COUNTIFS($A$2:A209,A209,$E$2:E209,E209)=1,ROUNDUP(SUMIFS($G:$G,$A:$A,A209,$E:$E,E209)/I209,0),0)</f>
        <v>1</v>
      </c>
      <c r="L209" s="5">
        <f t="shared" ref="L209:L239" si="22">K209*J209</f>
        <v>29.99</v>
      </c>
      <c r="M209" s="5">
        <f t="shared" ref="M209:M239" si="23">G209/I209*J209</f>
        <v>7.4974999999999996</v>
      </c>
      <c r="N209" s="9" t="s">
        <v>378</v>
      </c>
    </row>
    <row r="210" spans="1:14" x14ac:dyDescent="0.2">
      <c r="A210" s="12" t="s">
        <v>42</v>
      </c>
      <c r="B210" s="12" t="s">
        <v>11</v>
      </c>
      <c r="C210" s="12" t="s">
        <v>674</v>
      </c>
      <c r="D210" s="12" t="s">
        <v>298</v>
      </c>
      <c r="E210" s="13" t="s">
        <v>371</v>
      </c>
      <c r="F210" s="14" t="str">
        <f>INDEX('Woolworths Products'!$B$2:$B$208,MATCH($E210,'Woolworths Products'!$A$2:$A$208,0))</f>
        <v>Halaal Lean Beef Mince 500 g</v>
      </c>
      <c r="G210" s="15">
        <v>900</v>
      </c>
      <c r="H210" s="14" t="str">
        <f>INDEX('Woolworths Products'!$G$2:$G$208,MATCH($E210,'Woolworths Products'!$A$2:$A$208,0))</f>
        <v>g</v>
      </c>
      <c r="I210" s="14">
        <f>INDEX('Woolworths Products'!$F$2:$F$208,MATCH($E210,'Woolworths Products'!$A$2:$A$208,0))</f>
        <v>500</v>
      </c>
      <c r="J210" s="14">
        <f>INDEX('Woolworths Products'!$E$2:$E$208,MATCH($E210,'Woolworths Products'!$A$2:$A$208,0))</f>
        <v>64.989999999999995</v>
      </c>
      <c r="K210" s="5">
        <f>IF(COUNTIFS($A$2:A210,A210,$E$2:E210,E210)=1,ROUNDUP(SUMIFS($G:$G,$A:$A,A210,$E:$E,E210)/I210,0),0)</f>
        <v>2</v>
      </c>
      <c r="L210" s="5">
        <f t="shared" si="22"/>
        <v>129.97999999999999</v>
      </c>
      <c r="M210" s="5">
        <f t="shared" si="23"/>
        <v>116.982</v>
      </c>
      <c r="N210" s="9" t="s">
        <v>675</v>
      </c>
    </row>
    <row r="211" spans="1:14" x14ac:dyDescent="0.2">
      <c r="A211" s="12" t="s">
        <v>42</v>
      </c>
      <c r="B211" s="12" t="s">
        <v>11</v>
      </c>
      <c r="C211" s="12" t="s">
        <v>482</v>
      </c>
      <c r="D211" s="12" t="s">
        <v>298</v>
      </c>
      <c r="E211" s="13" t="s">
        <v>483</v>
      </c>
      <c r="F211" s="14" t="str">
        <f>INDEX('Woolworths Products'!$B$2:$B$208,MATCH($E211,'Woolworths Products'!$A$2:$A$208,0))</f>
        <v>Tomato Paste 70 g</v>
      </c>
      <c r="G211" s="15">
        <v>100</v>
      </c>
      <c r="H211" s="14" t="str">
        <f>INDEX('Woolworths Products'!$G$2:$G$208,MATCH($E211,'Woolworths Products'!$A$2:$A$208,0))</f>
        <v>g</v>
      </c>
      <c r="I211" s="14">
        <f>INDEX('Woolworths Products'!$F$2:$F$208,MATCH($E211,'Woolworths Products'!$A$2:$A$208,0))</f>
        <v>70</v>
      </c>
      <c r="J211" s="14">
        <f>INDEX('Woolworths Products'!$E$2:$E$208,MATCH($E211,'Woolworths Products'!$A$2:$A$208,0))</f>
        <v>17.989999999999998</v>
      </c>
      <c r="K211" s="5">
        <f>IF(COUNTIFS($A$2:A211,A211,$E$2:E211,E211)=1,ROUNDUP(SUMIFS($G:$G,$A:$A,A211,$E:$E,E211)/I211,0),0)</f>
        <v>2</v>
      </c>
      <c r="L211" s="5">
        <f t="shared" si="22"/>
        <v>35.979999999999997</v>
      </c>
      <c r="M211" s="5">
        <f t="shared" si="23"/>
        <v>25.7</v>
      </c>
      <c r="N211" s="9" t="s">
        <v>484</v>
      </c>
    </row>
    <row r="212" spans="1:14" x14ac:dyDescent="0.2">
      <c r="A212" s="12" t="s">
        <v>42</v>
      </c>
      <c r="B212" s="12" t="s">
        <v>11</v>
      </c>
      <c r="C212" s="12" t="s">
        <v>676</v>
      </c>
      <c r="D212" s="12" t="s">
        <v>298</v>
      </c>
      <c r="E212" s="13" t="s">
        <v>677</v>
      </c>
      <c r="F212" s="14" t="str">
        <f>INDEX('Woolworths Products'!$B$2:$B$208,MATCH($E212,'Woolworths Products'!$A$2:$A$208,0))</f>
        <v>Italian Tomato Puree 660 ml</v>
      </c>
      <c r="G212" s="15">
        <v>800</v>
      </c>
      <c r="H212" s="14" t="str">
        <f>INDEX('Woolworths Products'!$G$2:$G$208,MATCH($E212,'Woolworths Products'!$A$2:$A$208,0))</f>
        <v>ml</v>
      </c>
      <c r="I212" s="14">
        <f>INDEX('Woolworths Products'!$F$2:$F$208,MATCH($E212,'Woolworths Products'!$A$2:$A$208,0))</f>
        <v>660</v>
      </c>
      <c r="J212" s="14">
        <f>INDEX('Woolworths Products'!$E$2:$E$208,MATCH($E212,'Woolworths Products'!$A$2:$A$208,0))</f>
        <v>39.99</v>
      </c>
      <c r="K212" s="5">
        <f>IF(COUNTIFS($A$2:A212,A212,$E$2:E212,E212)=1,ROUNDUP(SUMIFS($G:$G,$A:$A,A212,$E:$E,E212)/I212,0),0)</f>
        <v>2</v>
      </c>
      <c r="L212" s="5">
        <f t="shared" si="22"/>
        <v>79.98</v>
      </c>
      <c r="M212" s="5">
        <f t="shared" si="23"/>
        <v>48.472727272727276</v>
      </c>
      <c r="N212" s="9"/>
    </row>
    <row r="213" spans="1:14" x14ac:dyDescent="0.2">
      <c r="A213" s="12" t="s">
        <v>42</v>
      </c>
      <c r="B213" s="12" t="s">
        <v>11</v>
      </c>
      <c r="C213" s="12" t="s">
        <v>678</v>
      </c>
      <c r="D213" s="12" t="s">
        <v>298</v>
      </c>
      <c r="E213" s="13" t="s">
        <v>679</v>
      </c>
      <c r="F213" s="14" t="str">
        <f>INDEX('Woolworths Products'!$B$2:$B$208,MATCH($E213,'Woolworths Products'!$A$2:$A$208,0))</f>
        <v>Beef Stock Powder 150 g</v>
      </c>
      <c r="G213" s="15">
        <v>20</v>
      </c>
      <c r="H213" s="14" t="str">
        <f>INDEX('Woolworths Products'!$G$2:$G$208,MATCH($E213,'Woolworths Products'!$A$2:$A$208,0))</f>
        <v>g</v>
      </c>
      <c r="I213" s="14">
        <f>INDEX('Woolworths Products'!$F$2:$F$208,MATCH($E213,'Woolworths Products'!$A$2:$A$208,0))</f>
        <v>150</v>
      </c>
      <c r="J213" s="14">
        <f>INDEX('Woolworths Products'!$E$2:$E$208,MATCH($E213,'Woolworths Products'!$A$2:$A$208,0))</f>
        <v>60.99</v>
      </c>
      <c r="K213" s="5">
        <f>IF(COUNTIFS($A$2:A213,A213,$E$2:E213,E213)=1,ROUNDUP(SUMIFS($G:$G,$A:$A,A213,$E:$E,E213)/I213,0),0)</f>
        <v>1</v>
      </c>
      <c r="L213" s="5">
        <f t="shared" si="22"/>
        <v>60.99</v>
      </c>
      <c r="M213" s="5">
        <f t="shared" si="23"/>
        <v>8.1319999999999997</v>
      </c>
      <c r="N213" s="9" t="s">
        <v>680</v>
      </c>
    </row>
    <row r="214" spans="1:14" x14ac:dyDescent="0.2">
      <c r="A214" s="12" t="s">
        <v>42</v>
      </c>
      <c r="B214" s="12" t="s">
        <v>11</v>
      </c>
      <c r="C214" s="12" t="s">
        <v>681</v>
      </c>
      <c r="D214" s="12" t="s">
        <v>298</v>
      </c>
      <c r="E214" s="13" t="s">
        <v>560</v>
      </c>
      <c r="F214" s="14" t="str">
        <f>INDEX('Woolworths Products'!$B$2:$B$208,MATCH($E214,'Woolworths Products'!$A$2:$A$208,0))</f>
        <v>Celery</v>
      </c>
      <c r="G214" s="15">
        <v>2</v>
      </c>
      <c r="H214" s="14" t="str">
        <f>INDEX('Woolworths Products'!$G$2:$G$208,MATCH($E214,'Woolworths Products'!$A$2:$A$208,0))</f>
        <v>stick</v>
      </c>
      <c r="I214" s="14">
        <f>INDEX('Woolworths Products'!$F$2:$F$208,MATCH($E214,'Woolworths Products'!$A$2:$A$208,0))</f>
        <v>10</v>
      </c>
      <c r="J214" s="14">
        <f>INDEX('Woolworths Products'!$E$2:$E$208,MATCH($E214,'Woolworths Products'!$A$2:$A$208,0))</f>
        <v>28.99</v>
      </c>
      <c r="K214" s="5">
        <f>IF(COUNTIFS($A$2:A214,A214,$E$2:E214,E214)=1,ROUNDUP(SUMIFS($G:$G,$A:$A,A214,$E:$E,E214)/I214,0),0)</f>
        <v>1</v>
      </c>
      <c r="L214" s="5">
        <f t="shared" si="22"/>
        <v>28.99</v>
      </c>
      <c r="M214" s="5">
        <f t="shared" si="23"/>
        <v>5.798</v>
      </c>
      <c r="N214" s="9" t="s">
        <v>561</v>
      </c>
    </row>
    <row r="215" spans="1:14" x14ac:dyDescent="0.2">
      <c r="A215" s="12" t="s">
        <v>42</v>
      </c>
      <c r="B215" s="12" t="s">
        <v>11</v>
      </c>
      <c r="C215" s="12" t="s">
        <v>682</v>
      </c>
      <c r="D215" s="12" t="s">
        <v>298</v>
      </c>
      <c r="E215" s="13" t="s">
        <v>304</v>
      </c>
      <c r="F215" s="14" t="str">
        <f>INDEX('Woolworths Products'!$B$2:$B$208,MATCH($E215,'Woolworths Products'!$A$2:$A$208,0))</f>
        <v>Medium Carrots 500 g</v>
      </c>
      <c r="G215" s="15">
        <v>280</v>
      </c>
      <c r="H215" s="14" t="str">
        <f>INDEX('Woolworths Products'!$G$2:$G$208,MATCH($E215,'Woolworths Products'!$A$2:$A$208,0))</f>
        <v>g</v>
      </c>
      <c r="I215" s="14">
        <f>INDEX('Woolworths Products'!$F$2:$F$208,MATCH($E215,'Woolworths Products'!$A$2:$A$208,0))</f>
        <v>500</v>
      </c>
      <c r="J215" s="14">
        <f>INDEX('Woolworths Products'!$E$2:$E$208,MATCH($E215,'Woolworths Products'!$A$2:$A$208,0))</f>
        <v>14.99</v>
      </c>
      <c r="K215" s="5">
        <f>IF(COUNTIFS($A$2:A215,A215,$E$2:E215,E215)=1,ROUNDUP(SUMIFS($G:$G,$A:$A,A215,$E:$E,E215)/I215,0),0)</f>
        <v>1</v>
      </c>
      <c r="L215" s="5">
        <f t="shared" si="22"/>
        <v>14.99</v>
      </c>
      <c r="M215" s="5">
        <f t="shared" si="23"/>
        <v>8.394400000000001</v>
      </c>
      <c r="N215" s="9"/>
    </row>
    <row r="216" spans="1:14" x14ac:dyDescent="0.2">
      <c r="A216" s="12" t="s">
        <v>42</v>
      </c>
      <c r="B216" s="12" t="s">
        <v>11</v>
      </c>
      <c r="C216" s="12" t="s">
        <v>683</v>
      </c>
      <c r="D216" s="12" t="s">
        <v>298</v>
      </c>
      <c r="E216" s="13" t="s">
        <v>461</v>
      </c>
      <c r="F216" s="14" t="str">
        <f>INDEX('Woolworths Products'!$B$2:$B$208,MATCH($E216,'Woolworths Products'!$A$2:$A$208,0))</f>
        <v>Fresh Rosemary 20 g</v>
      </c>
      <c r="G216" s="15">
        <v>0.25</v>
      </c>
      <c r="H216" s="14" t="str">
        <f>INDEX('Woolworths Products'!$G$2:$G$208,MATCH($E216,'Woolworths Products'!$A$2:$A$208,0))</f>
        <v>punnet</v>
      </c>
      <c r="I216" s="14">
        <f>INDEX('Woolworths Products'!$F$2:$F$208,MATCH($E216,'Woolworths Products'!$A$2:$A$208,0))</f>
        <v>1</v>
      </c>
      <c r="J216" s="14">
        <f>INDEX('Woolworths Products'!$E$2:$E$208,MATCH($E216,'Woolworths Products'!$A$2:$A$208,0))</f>
        <v>15.99</v>
      </c>
      <c r="K216" s="5">
        <f>IF(COUNTIFS($A$2:A216,A216,$E$2:E216,E216)=1,ROUNDUP(SUMIFS($G:$G,$A:$A,A216,$E:$E,E216)/I216,0),0)</f>
        <v>1</v>
      </c>
      <c r="L216" s="5">
        <f t="shared" si="22"/>
        <v>15.99</v>
      </c>
      <c r="M216" s="5">
        <f t="shared" si="23"/>
        <v>3.9975000000000001</v>
      </c>
      <c r="N216" s="9"/>
    </row>
    <row r="217" spans="1:14" x14ac:dyDescent="0.2">
      <c r="A217" s="12" t="s">
        <v>42</v>
      </c>
      <c r="B217" s="12" t="s">
        <v>11</v>
      </c>
      <c r="C217" s="12" t="s">
        <v>684</v>
      </c>
      <c r="D217" s="12" t="s">
        <v>298</v>
      </c>
      <c r="E217" s="13" t="s">
        <v>495</v>
      </c>
      <c r="F217" s="14" t="str">
        <f>INDEX('Woolworths Products'!$B$2:$B$208,MATCH($E217,'Woolworths Products'!$A$2:$A$208,0))</f>
        <v>Fresh Thyme 20 g</v>
      </c>
      <c r="G217" s="15">
        <v>0.25</v>
      </c>
      <c r="H217" s="14" t="str">
        <f>INDEX('Woolworths Products'!$G$2:$G$208,MATCH($E217,'Woolworths Products'!$A$2:$A$208,0))</f>
        <v>punnet</v>
      </c>
      <c r="I217" s="14">
        <f>INDEX('Woolworths Products'!$F$2:$F$208,MATCH($E217,'Woolworths Products'!$A$2:$A$208,0))</f>
        <v>1</v>
      </c>
      <c r="J217" s="14">
        <f>INDEX('Woolworths Products'!$E$2:$E$208,MATCH($E217,'Woolworths Products'!$A$2:$A$208,0))</f>
        <v>15.99</v>
      </c>
      <c r="K217" s="5">
        <f>IF(COUNTIFS($A$2:A217,A217,$E$2:E217,E217)=1,ROUNDUP(SUMIFS($G:$G,$A:$A,A217,$E:$E,E217)/I217,0),0)</f>
        <v>1</v>
      </c>
      <c r="L217" s="5">
        <f t="shared" si="22"/>
        <v>15.99</v>
      </c>
      <c r="M217" s="5">
        <f t="shared" si="23"/>
        <v>3.9975000000000001</v>
      </c>
      <c r="N217" s="9"/>
    </row>
    <row r="218" spans="1:14" x14ac:dyDescent="0.2">
      <c r="A218" s="12" t="s">
        <v>42</v>
      </c>
      <c r="B218" s="12" t="s">
        <v>11</v>
      </c>
      <c r="C218" s="12" t="s">
        <v>685</v>
      </c>
      <c r="D218" s="12" t="s">
        <v>298</v>
      </c>
      <c r="E218" s="13" t="s">
        <v>571</v>
      </c>
      <c r="F218" s="14" t="str">
        <f>INDEX('Woolworths Products'!$B$2:$B$208,MATCH($E218,'Woolworths Products'!$A$2:$A$208,0))</f>
        <v>Fresh Bay Leaves 20 g</v>
      </c>
      <c r="G218" s="15">
        <v>0.25</v>
      </c>
      <c r="H218" s="14" t="str">
        <f>INDEX('Woolworths Products'!$G$2:$G$208,MATCH($E218,'Woolworths Products'!$A$2:$A$208,0))</f>
        <v>punnet</v>
      </c>
      <c r="I218" s="14">
        <f>INDEX('Woolworths Products'!$F$2:$F$208,MATCH($E218,'Woolworths Products'!$A$2:$A$208,0))</f>
        <v>1</v>
      </c>
      <c r="J218" s="14">
        <f>INDEX('Woolworths Products'!$E$2:$E$208,MATCH($E218,'Woolworths Products'!$A$2:$A$208,0))</f>
        <v>15.99</v>
      </c>
      <c r="K218" s="5">
        <f>IF(COUNTIFS($A$2:A218,A218,$E$2:E218,E218)=1,ROUNDUP(SUMIFS($G:$G,$A:$A,A218,$E:$E,E218)/I218,0),0)</f>
        <v>1</v>
      </c>
      <c r="L218" s="5">
        <f t="shared" si="22"/>
        <v>15.99</v>
      </c>
      <c r="M218" s="5">
        <f t="shared" si="23"/>
        <v>3.9975000000000001</v>
      </c>
      <c r="N218" s="9"/>
    </row>
    <row r="219" spans="1:14" x14ac:dyDescent="0.2">
      <c r="A219" s="12" t="s">
        <v>43</v>
      </c>
      <c r="B219" s="12" t="s">
        <v>11</v>
      </c>
      <c r="C219" s="12" t="s">
        <v>686</v>
      </c>
      <c r="D219" s="12" t="s">
        <v>298</v>
      </c>
      <c r="E219" s="13" t="s">
        <v>599</v>
      </c>
      <c r="F219" s="14" t="str">
        <f>INDEX('Woolworths Products'!$B$2:$B$208,MATCH($E219,'Woolworths Products'!$A$2:$A$208,0))</f>
        <v>Canola Oil 750 ml</v>
      </c>
      <c r="G219" s="15">
        <v>15</v>
      </c>
      <c r="H219" s="14" t="str">
        <f>INDEX('Woolworths Products'!$G$2:$G$208,MATCH($E219,'Woolworths Products'!$A$2:$A$208,0))</f>
        <v>ml</v>
      </c>
      <c r="I219" s="14">
        <f>INDEX('Woolworths Products'!$F$2:$F$208,MATCH($E219,'Woolworths Products'!$A$2:$A$208,0))</f>
        <v>750</v>
      </c>
      <c r="J219" s="14">
        <f>INDEX('Woolworths Products'!$E$2:$E$208,MATCH($E219,'Woolworths Products'!$A$2:$A$208,0))</f>
        <v>39.99</v>
      </c>
      <c r="K219" s="5">
        <f>IF(COUNTIFS($A$2:A219,A219,$E$2:E219,E219)=1,ROUNDUP(SUMIFS($G:$G,$A:$A,A219,$E:$E,E219)/I219,0),0)</f>
        <v>1</v>
      </c>
      <c r="L219" s="5">
        <f t="shared" si="22"/>
        <v>39.99</v>
      </c>
      <c r="M219" s="5">
        <f t="shared" si="23"/>
        <v>0.79980000000000007</v>
      </c>
      <c r="N219" s="9" t="s">
        <v>600</v>
      </c>
    </row>
    <row r="220" spans="1:14" x14ac:dyDescent="0.2">
      <c r="A220" s="12" t="s">
        <v>43</v>
      </c>
      <c r="B220" s="12" t="s">
        <v>11</v>
      </c>
      <c r="C220" s="12" t="s">
        <v>687</v>
      </c>
      <c r="D220" s="12" t="s">
        <v>298</v>
      </c>
      <c r="E220" s="13" t="s">
        <v>688</v>
      </c>
      <c r="F220" s="14" t="str">
        <f>INDEX('Woolworths Products'!$B$2:$B$208,MATCH($E220,'Woolworths Products'!$A$2:$A$208,0))</f>
        <v>Free Range Chicken Portions Avg 1.2 kg</v>
      </c>
      <c r="G220" s="15">
        <v>1</v>
      </c>
      <c r="H220" s="14" t="str">
        <f>INDEX('Woolworths Products'!$G$2:$G$208,MATCH($E220,'Woolworths Products'!$A$2:$A$208,0))</f>
        <v>ea</v>
      </c>
      <c r="I220" s="14">
        <f>INDEX('Woolworths Products'!$F$2:$F$208,MATCH($E220,'Woolworths Products'!$A$2:$A$208,0))</f>
        <v>1</v>
      </c>
      <c r="J220" s="14">
        <f>INDEX('Woolworths Products'!$E$2:$E$208,MATCH($E220,'Woolworths Products'!$A$2:$A$208,0))</f>
        <v>113.99</v>
      </c>
      <c r="K220" s="5">
        <f>IF(COUNTIFS($A$2:A220,A220,$E$2:E220,E220)=1,ROUNDUP(SUMIFS($G:$G,$A:$A,A220,$E:$E,E220)/I220,0),0)</f>
        <v>1</v>
      </c>
      <c r="L220" s="5">
        <f t="shared" si="22"/>
        <v>113.99</v>
      </c>
      <c r="M220" s="5">
        <f t="shared" si="23"/>
        <v>113.99</v>
      </c>
      <c r="N220" s="9" t="s">
        <v>432</v>
      </c>
    </row>
    <row r="221" spans="1:14" x14ac:dyDescent="0.2">
      <c r="A221" s="12" t="s">
        <v>43</v>
      </c>
      <c r="B221" s="12" t="s">
        <v>11</v>
      </c>
      <c r="C221" s="12" t="s">
        <v>689</v>
      </c>
      <c r="D221" s="12" t="s">
        <v>298</v>
      </c>
      <c r="E221" s="13" t="s">
        <v>343</v>
      </c>
      <c r="F221" s="14" t="str">
        <f>INDEX('Woolworths Products'!$B$2:$B$208,MATCH($E221,'Woolworths Products'!$A$2:$A$208,0))</f>
        <v>Brown Onions 1 kg</v>
      </c>
      <c r="G221" s="15">
        <v>300</v>
      </c>
      <c r="H221" s="14" t="str">
        <f>INDEX('Woolworths Products'!$G$2:$G$208,MATCH($E221,'Woolworths Products'!$A$2:$A$208,0))</f>
        <v>g</v>
      </c>
      <c r="I221" s="14">
        <f>INDEX('Woolworths Products'!$F$2:$F$208,MATCH($E221,'Woolworths Products'!$A$2:$A$208,0))</f>
        <v>1000</v>
      </c>
      <c r="J221" s="14">
        <f>INDEX('Woolworths Products'!$E$2:$E$208,MATCH($E221,'Woolworths Products'!$A$2:$A$208,0))</f>
        <v>39.9</v>
      </c>
      <c r="K221" s="5">
        <f>IF(COUNTIFS($A$2:A221,A221,$E$2:E221,E221)=1,ROUNDUP(SUMIFS($G:$G,$A:$A,A221,$E:$E,E221)/I221,0),0)</f>
        <v>1</v>
      </c>
      <c r="L221" s="5">
        <f t="shared" si="22"/>
        <v>39.9</v>
      </c>
      <c r="M221" s="5">
        <f t="shared" si="23"/>
        <v>11.969999999999999</v>
      </c>
      <c r="N221" s="9" t="s">
        <v>344</v>
      </c>
    </row>
    <row r="222" spans="1:14" x14ac:dyDescent="0.2">
      <c r="A222" s="12" t="s">
        <v>43</v>
      </c>
      <c r="B222" s="12" t="s">
        <v>11</v>
      </c>
      <c r="C222" s="12" t="s">
        <v>690</v>
      </c>
      <c r="D222" s="12" t="s">
        <v>298</v>
      </c>
      <c r="E222" s="13" t="s">
        <v>653</v>
      </c>
      <c r="F222" s="14" t="str">
        <f>INDEX('Woolworths Products'!$B$2:$B$208,MATCH($E222,'Woolworths Products'!$A$2:$A$208,0))</f>
        <v>Tikka Paste 200 g</v>
      </c>
      <c r="G222" s="15">
        <v>30</v>
      </c>
      <c r="H222" s="14" t="str">
        <f>INDEX('Woolworths Products'!$G$2:$G$208,MATCH($E222,'Woolworths Products'!$A$2:$A$208,0))</f>
        <v>g</v>
      </c>
      <c r="I222" s="14">
        <f>INDEX('Woolworths Products'!$F$2:$F$208,MATCH($E222,'Woolworths Products'!$A$2:$A$208,0))</f>
        <v>200</v>
      </c>
      <c r="J222" s="14">
        <f>INDEX('Woolworths Products'!$E$2:$E$208,MATCH($E222,'Woolworths Products'!$A$2:$A$208,0))</f>
        <v>59.99</v>
      </c>
      <c r="K222" s="5">
        <f>IF(COUNTIFS($A$2:A222,A222,$E$2:E222,E222)=1,ROUNDUP(SUMIFS($G:$G,$A:$A,A222,$E:$E,E222)/I222,0),0)</f>
        <v>1</v>
      </c>
      <c r="L222" s="5">
        <f t="shared" si="22"/>
        <v>59.99</v>
      </c>
      <c r="M222" s="5">
        <f t="shared" si="23"/>
        <v>8.9984999999999999</v>
      </c>
      <c r="N222" s="9"/>
    </row>
    <row r="223" spans="1:14" x14ac:dyDescent="0.2">
      <c r="A223" s="12" t="s">
        <v>43</v>
      </c>
      <c r="B223" s="12" t="s">
        <v>11</v>
      </c>
      <c r="C223" s="12" t="s">
        <v>691</v>
      </c>
      <c r="D223" s="12" t="s">
        <v>298</v>
      </c>
      <c r="E223" s="13" t="s">
        <v>692</v>
      </c>
      <c r="F223" s="14" t="str">
        <f>INDEX('Woolworths Products'!$B$2:$B$208,MATCH($E223,'Woolworths Products'!$A$2:$A$208,0))</f>
        <v>House Chardonnay 750 ml</v>
      </c>
      <c r="G223" s="15">
        <v>250</v>
      </c>
      <c r="H223" s="14" t="str">
        <f>INDEX('Woolworths Products'!$G$2:$G$208,MATCH($E223,'Woolworths Products'!$A$2:$A$208,0))</f>
        <v>ml</v>
      </c>
      <c r="I223" s="14">
        <f>INDEX('Woolworths Products'!$F$2:$F$208,MATCH($E223,'Woolworths Products'!$A$2:$A$208,0))</f>
        <v>750</v>
      </c>
      <c r="J223" s="14">
        <f>INDEX('Woolworths Products'!$E$2:$E$208,MATCH($E223,'Woolworths Products'!$A$2:$A$208,0))</f>
        <v>69.989999999999995</v>
      </c>
      <c r="K223" s="5">
        <f>IF(COUNTIFS($A$2:A223,A223,$E$2:E223,E223)=1,ROUNDUP(SUMIFS($G:$G,$A:$A,A223,$E:$E,E223)/I223,0),0)</f>
        <v>1</v>
      </c>
      <c r="L223" s="5">
        <f t="shared" si="22"/>
        <v>69.989999999999995</v>
      </c>
      <c r="M223" s="5">
        <f t="shared" si="23"/>
        <v>23.33</v>
      </c>
      <c r="N223" s="9"/>
    </row>
    <row r="224" spans="1:14" x14ac:dyDescent="0.2">
      <c r="A224" s="12" t="s">
        <v>43</v>
      </c>
      <c r="B224" s="12" t="s">
        <v>11</v>
      </c>
      <c r="C224" s="12" t="s">
        <v>669</v>
      </c>
      <c r="D224" s="12" t="s">
        <v>298</v>
      </c>
      <c r="E224" s="13" t="s">
        <v>670</v>
      </c>
      <c r="F224" s="14" t="str">
        <f>INDEX('Woolworths Products'!$B$2:$B$208,MATCH($E224,'Woolworths Products'!$A$2:$A$208,0))</f>
        <v>Rosa Tomatoes 400 g</v>
      </c>
      <c r="G224" s="15">
        <v>1</v>
      </c>
      <c r="H224" s="14" t="str">
        <f>INDEX('Woolworths Products'!$G$2:$G$208,MATCH($E224,'Woolworths Products'!$A$2:$A$208,0))</f>
        <v>ea</v>
      </c>
      <c r="I224" s="14">
        <f>INDEX('Woolworths Products'!$F$2:$F$208,MATCH($E224,'Woolworths Products'!$A$2:$A$208,0))</f>
        <v>1</v>
      </c>
      <c r="J224" s="14">
        <f>INDEX('Woolworths Products'!$E$2:$E$208,MATCH($E224,'Woolworths Products'!$A$2:$A$208,0))</f>
        <v>44.99</v>
      </c>
      <c r="K224" s="5">
        <f>IF(COUNTIFS($A$2:A224,A224,$E$2:E224,E224)=1,ROUNDUP(SUMIFS($G:$G,$A:$A,A224,$E:$E,E224)/I224,0),0)</f>
        <v>1</v>
      </c>
      <c r="L224" s="5">
        <f t="shared" si="22"/>
        <v>44.99</v>
      </c>
      <c r="M224" s="5">
        <f t="shared" si="23"/>
        <v>44.99</v>
      </c>
      <c r="N224" s="9"/>
    </row>
    <row r="225" spans="1:14" x14ac:dyDescent="0.2">
      <c r="A225" s="12" t="s">
        <v>43</v>
      </c>
      <c r="B225" s="12" t="s">
        <v>11</v>
      </c>
      <c r="C225" s="12" t="s">
        <v>693</v>
      </c>
      <c r="D225" s="12" t="s">
        <v>298</v>
      </c>
      <c r="E225" s="13" t="s">
        <v>694</v>
      </c>
      <c r="F225" s="14" t="str">
        <f>INDEX('Woolworths Products'!$B$2:$B$208,MATCH($E225,'Woolworths Products'!$A$2:$A$208,0))</f>
        <v>Reduced Fat Coconut Milk 400 ml</v>
      </c>
      <c r="G225" s="15">
        <v>125</v>
      </c>
      <c r="H225" s="14" t="str">
        <f>INDEX('Woolworths Products'!$G$2:$G$208,MATCH($E225,'Woolworths Products'!$A$2:$A$208,0))</f>
        <v>ml</v>
      </c>
      <c r="I225" s="14">
        <f>INDEX('Woolworths Products'!$F$2:$F$208,MATCH($E225,'Woolworths Products'!$A$2:$A$208,0))</f>
        <v>400</v>
      </c>
      <c r="J225" s="14">
        <f>INDEX('Woolworths Products'!$E$2:$E$208,MATCH($E225,'Woolworths Products'!$A$2:$A$208,0))</f>
        <v>39.99</v>
      </c>
      <c r="K225" s="5">
        <f>IF(COUNTIFS($A$2:A225,A225,$E$2:E225,E225)=1,ROUNDUP(SUMIFS($G:$G,$A:$A,A225,$E:$E,E225)/I225,0),0)</f>
        <v>1</v>
      </c>
      <c r="L225" s="5">
        <f t="shared" si="22"/>
        <v>39.99</v>
      </c>
      <c r="M225" s="5">
        <f t="shared" si="23"/>
        <v>12.496875000000001</v>
      </c>
      <c r="N225" s="9"/>
    </row>
    <row r="226" spans="1:14" x14ac:dyDescent="0.2">
      <c r="A226" s="12" t="s">
        <v>43</v>
      </c>
      <c r="B226" s="12" t="s">
        <v>11</v>
      </c>
      <c r="C226" s="12" t="s">
        <v>695</v>
      </c>
      <c r="D226" s="12" t="s">
        <v>298</v>
      </c>
      <c r="E226" s="13" t="s">
        <v>409</v>
      </c>
      <c r="F226" s="14" t="str">
        <f>INDEX('Woolworths Products'!$B$2:$B$208,MATCH($E226,'Woolworths Products'!$A$2:$A$208,0))</f>
        <v>Fresh Coriander 30 g</v>
      </c>
      <c r="G226" s="15">
        <v>1</v>
      </c>
      <c r="H226" s="14" t="str">
        <f>INDEX('Woolworths Products'!$G$2:$G$208,MATCH($E226,'Woolworths Products'!$A$2:$A$208,0))</f>
        <v>punnet</v>
      </c>
      <c r="I226" s="14">
        <f>INDEX('Woolworths Products'!$F$2:$F$208,MATCH($E226,'Woolworths Products'!$A$2:$A$208,0))</f>
        <v>1</v>
      </c>
      <c r="J226" s="14">
        <f>INDEX('Woolworths Products'!$E$2:$E$208,MATCH($E226,'Woolworths Products'!$A$2:$A$208,0))</f>
        <v>15.99</v>
      </c>
      <c r="K226" s="5">
        <f>IF(COUNTIFS($A$2:A226,A226,$E$2:E226,E226)=1,ROUNDUP(SUMIFS($G:$G,$A:$A,A226,$E:$E,E226)/I226,0),0)</f>
        <v>1</v>
      </c>
      <c r="L226" s="5">
        <f t="shared" si="22"/>
        <v>15.99</v>
      </c>
      <c r="M226" s="5">
        <f t="shared" si="23"/>
        <v>15.99</v>
      </c>
      <c r="N226" s="9"/>
    </row>
    <row r="227" spans="1:14" x14ac:dyDescent="0.2">
      <c r="A227" s="12" t="s">
        <v>44</v>
      </c>
      <c r="B227" s="12" t="s">
        <v>11</v>
      </c>
      <c r="C227" s="12" t="s">
        <v>696</v>
      </c>
      <c r="D227" s="12" t="s">
        <v>298</v>
      </c>
      <c r="E227" s="13" t="s">
        <v>299</v>
      </c>
      <c r="F227" s="14" t="str">
        <f>INDEX('Woolworths Products'!$B$2:$B$208,MATCH($E227,'Woolworths Products'!$A$2:$A$208,0))</f>
        <v>Farmhouse Chicken Soup 600 g</v>
      </c>
      <c r="G227" s="15">
        <v>1</v>
      </c>
      <c r="H227" s="14" t="str">
        <f>INDEX('Woolworths Products'!$G$2:$G$208,MATCH($E227,'Woolworths Products'!$A$2:$A$208,0))</f>
        <v>ea</v>
      </c>
      <c r="I227" s="14">
        <f>INDEX('Woolworths Products'!$F$2:$F$208,MATCH($E227,'Woolworths Products'!$A$2:$A$208,0))</f>
        <v>1</v>
      </c>
      <c r="J227" s="14">
        <f>INDEX('Woolworths Products'!$E$2:$E$208,MATCH($E227,'Woolworths Products'!$A$2:$A$208,0))</f>
        <v>74.989999999999995</v>
      </c>
      <c r="K227" s="5">
        <f>IF(COUNTIFS($A$2:A227,A227,$E$2:E227,E227)=1,ROUNDUP(SUMIFS($G:$G,$A:$A,A227,$E:$E,E227)/I227,0),0)</f>
        <v>1</v>
      </c>
      <c r="L227" s="5">
        <f t="shared" si="22"/>
        <v>74.989999999999995</v>
      </c>
      <c r="M227" s="5">
        <f t="shared" si="23"/>
        <v>74.989999999999995</v>
      </c>
      <c r="N227" s="9"/>
    </row>
    <row r="228" spans="1:14" x14ac:dyDescent="0.2">
      <c r="A228" s="12" t="s">
        <v>44</v>
      </c>
      <c r="B228" s="12" t="s">
        <v>11</v>
      </c>
      <c r="C228" s="12" t="s">
        <v>697</v>
      </c>
      <c r="D228" s="12" t="s">
        <v>298</v>
      </c>
      <c r="E228" s="13" t="s">
        <v>698</v>
      </c>
      <c r="F228" s="14" t="str">
        <f>INDEX('Woolworths Products'!$B$2:$B$208,MATCH($E228,'Woolworths Products'!$A$2:$A$208,0))</f>
        <v>Freshly Frozen Peas &amp; Sweetcorn Kernels 750 g</v>
      </c>
      <c r="G228" s="15">
        <v>140</v>
      </c>
      <c r="H228" s="14" t="str">
        <f>INDEX('Woolworths Products'!$G$2:$G$208,MATCH($E228,'Woolworths Products'!$A$2:$A$208,0))</f>
        <v>g</v>
      </c>
      <c r="I228" s="14">
        <f>INDEX('Woolworths Products'!$F$2:$F$208,MATCH($E228,'Woolworths Products'!$A$2:$A$208,0))</f>
        <v>750</v>
      </c>
      <c r="J228" s="14">
        <f>INDEX('Woolworths Products'!$E$2:$E$208,MATCH($E228,'Woolworths Products'!$A$2:$A$208,0))</f>
        <v>59.99</v>
      </c>
      <c r="K228" s="5">
        <f>IF(COUNTIFS($A$2:A228,A228,$E$2:E228,E228)=1,ROUNDUP(SUMIFS($G:$G,$A:$A,A228,$E:$E,E228)/I228,0),0)</f>
        <v>1</v>
      </c>
      <c r="L228" s="5">
        <f t="shared" si="22"/>
        <v>59.99</v>
      </c>
      <c r="M228" s="5">
        <f t="shared" si="23"/>
        <v>11.198133333333335</v>
      </c>
      <c r="N228" s="9"/>
    </row>
    <row r="229" spans="1:14" x14ac:dyDescent="0.2">
      <c r="A229" s="12" t="s">
        <v>44</v>
      </c>
      <c r="B229" s="12" t="s">
        <v>11</v>
      </c>
      <c r="C229" s="12" t="s">
        <v>699</v>
      </c>
      <c r="D229" s="12" t="s">
        <v>298</v>
      </c>
      <c r="E229" s="13" t="s">
        <v>306</v>
      </c>
      <c r="F229" s="14" t="str">
        <f>INDEX('Woolworths Products'!$B$2:$B$208,MATCH($E229,'Woolworths Products'!$A$2:$A$208,0))</f>
        <v>Medium Rotisserie Chicken</v>
      </c>
      <c r="G229" s="15">
        <v>1</v>
      </c>
      <c r="H229" s="14" t="str">
        <f>INDEX('Woolworths Products'!$G$2:$G$208,MATCH($E229,'Woolworths Products'!$A$2:$A$208,0))</f>
        <v>ea</v>
      </c>
      <c r="I229" s="14">
        <f>INDEX('Woolworths Products'!$F$2:$F$208,MATCH($E229,'Woolworths Products'!$A$2:$A$208,0))</f>
        <v>1</v>
      </c>
      <c r="J229" s="14">
        <f>INDEX('Woolworths Products'!$E$2:$E$208,MATCH($E229,'Woolworths Products'!$A$2:$A$208,0))</f>
        <v>119.99</v>
      </c>
      <c r="K229" s="5">
        <f>IF(COUNTIFS($A$2:A229,A229,$E$2:E229,E229)=1,ROUNDUP(SUMIFS($G:$G,$A:$A,A229,$E:$E,E229)/I229,0),0)</f>
        <v>1</v>
      </c>
      <c r="L229" s="5">
        <f t="shared" si="22"/>
        <v>119.99</v>
      </c>
      <c r="M229" s="5">
        <f t="shared" si="23"/>
        <v>119.99</v>
      </c>
      <c r="N229" s="9" t="s">
        <v>662</v>
      </c>
    </row>
    <row r="230" spans="1:14" x14ac:dyDescent="0.2">
      <c r="A230" s="12" t="s">
        <v>44</v>
      </c>
      <c r="B230" s="12" t="s">
        <v>11</v>
      </c>
      <c r="C230" s="12" t="s">
        <v>700</v>
      </c>
      <c r="D230" s="12" t="s">
        <v>298</v>
      </c>
      <c r="E230" s="13" t="s">
        <v>308</v>
      </c>
      <c r="F230" s="14" t="str">
        <f>INDEX('Woolworths Products'!$B$2:$B$208,MATCH($E230,'Woolworths Products'!$A$2:$A$208,0))</f>
        <v>Frozen Puff Pastry Roll 400 g</v>
      </c>
      <c r="G230" s="15">
        <v>1</v>
      </c>
      <c r="H230" s="14" t="str">
        <f>INDEX('Woolworths Products'!$G$2:$G$208,MATCH($E230,'Woolworths Products'!$A$2:$A$208,0))</f>
        <v>ea</v>
      </c>
      <c r="I230" s="14">
        <f>INDEX('Woolworths Products'!$F$2:$F$208,MATCH($E230,'Woolworths Products'!$A$2:$A$208,0))</f>
        <v>1</v>
      </c>
      <c r="J230" s="14">
        <f>INDEX('Woolworths Products'!$E$2:$E$208,MATCH($E230,'Woolworths Products'!$A$2:$A$208,0))</f>
        <v>42.99</v>
      </c>
      <c r="K230" s="5">
        <f>IF(COUNTIFS($A$2:A230,A230,$E$2:E230,E230)=1,ROUNDUP(SUMIFS($G:$G,$A:$A,A230,$E:$E,E230)/I230,0),0)</f>
        <v>1</v>
      </c>
      <c r="L230" s="5">
        <f t="shared" si="22"/>
        <v>42.99</v>
      </c>
      <c r="M230" s="5">
        <f t="shared" si="23"/>
        <v>42.99</v>
      </c>
      <c r="N230" s="9" t="s">
        <v>701</v>
      </c>
    </row>
    <row r="231" spans="1:14" x14ac:dyDescent="0.2">
      <c r="A231" s="16" t="s">
        <v>44</v>
      </c>
      <c r="B231" s="16" t="s">
        <v>11</v>
      </c>
      <c r="C231" s="16" t="s">
        <v>702</v>
      </c>
      <c r="D231" s="16" t="s">
        <v>298</v>
      </c>
      <c r="E231" s="17" t="s">
        <v>311</v>
      </c>
      <c r="F231" s="18" t="str">
        <f>INDEX('Woolworths Products'!$B$2:$B$208,MATCH($E231,'Woolworths Products'!$A$2:$A$208,0))</f>
        <v>Free Range Mixed Sizes Chilled Eggs 6 pk</v>
      </c>
      <c r="G231" s="19">
        <v>1</v>
      </c>
      <c r="H231" s="18" t="str">
        <f>INDEX('Woolworths Products'!$G$2:$G$208,MATCH($E231,'Woolworths Products'!$A$2:$A$208,0))</f>
        <v>ea</v>
      </c>
      <c r="I231" s="18">
        <f>INDEX('Woolworths Products'!$F$2:$F$208,MATCH($E231,'Woolworths Products'!$A$2:$A$208,0))</f>
        <v>6</v>
      </c>
      <c r="J231" s="18">
        <f>INDEX('Woolworths Products'!$E$2:$E$208,MATCH($E231,'Woolworths Products'!$A$2:$A$208,0))</f>
        <v>29.99</v>
      </c>
      <c r="K231" s="20">
        <f>IF(COUNTIFS($A$2:A231,A231,$E$2:E231,E231)=1,ROUNDUP(SUMIFS($G:$G,$A:$A,A231,$E:$E,E231)/I231,0),0)</f>
        <v>1</v>
      </c>
      <c r="L231" s="20">
        <f t="shared" si="22"/>
        <v>29.99</v>
      </c>
      <c r="M231" s="20">
        <f t="shared" si="23"/>
        <v>4.9983333333333331</v>
      </c>
      <c r="N231" s="21" t="s">
        <v>703</v>
      </c>
    </row>
    <row r="232" spans="1:14" x14ac:dyDescent="0.2">
      <c r="A232" s="16" t="s">
        <v>45</v>
      </c>
      <c r="B232" s="16" t="s">
        <v>17</v>
      </c>
      <c r="C232" s="16" t="s">
        <v>704</v>
      </c>
      <c r="D232" s="16" t="s">
        <v>298</v>
      </c>
      <c r="E232" s="17" t="s">
        <v>365</v>
      </c>
      <c r="F232" s="18" t="str">
        <f>INDEX('Woolworths Products'!$B$2:$B$208,MATCH($E232,'Woolworths Products'!$A$2:$A$208,0))</f>
        <v>Salted Butter 250 g</v>
      </c>
      <c r="G232" s="19">
        <v>10</v>
      </c>
      <c r="H232" s="18" t="str">
        <f>INDEX('Woolworths Products'!$G$2:$G$208,MATCH($E232,'Woolworths Products'!$A$2:$A$208,0))</f>
        <v>g</v>
      </c>
      <c r="I232" s="18">
        <f>INDEX('Woolworths Products'!$F$2:$F$208,MATCH($E232,'Woolworths Products'!$A$2:$A$208,0))</f>
        <v>250</v>
      </c>
      <c r="J232" s="18">
        <f>INDEX('Woolworths Products'!$E$2:$E$208,MATCH($E232,'Woolworths Products'!$A$2:$A$208,0))</f>
        <v>68.989999999999995</v>
      </c>
      <c r="K232" s="20">
        <f>IF(COUNTIFS($A$2:A232,A232,$E$2:E232,E232)=1,ROUNDUP(SUMIFS($G:$G,$A:$A,A232,$E:$E,E232)/I232,0),0)</f>
        <v>3</v>
      </c>
      <c r="L232" s="20">
        <f t="shared" si="22"/>
        <v>206.96999999999997</v>
      </c>
      <c r="M232" s="20">
        <f t="shared" si="23"/>
        <v>2.7595999999999998</v>
      </c>
      <c r="N232" s="21" t="s">
        <v>705</v>
      </c>
    </row>
    <row r="233" spans="1:14" x14ac:dyDescent="0.2">
      <c r="A233" s="12" t="s">
        <v>45</v>
      </c>
      <c r="B233" s="12" t="s">
        <v>17</v>
      </c>
      <c r="C233" s="12" t="s">
        <v>706</v>
      </c>
      <c r="D233" s="12" t="s">
        <v>298</v>
      </c>
      <c r="E233" s="13" t="s">
        <v>707</v>
      </c>
      <c r="F233" s="14" t="str">
        <f>INDEX('Woolworths Products'!$B$2:$B$208,MATCH($E233,'Woolworths Products'!$A$2:$A$208,0))</f>
        <v>Kellogg's All Bran Flakes 500 g</v>
      </c>
      <c r="G233" s="15">
        <v>500</v>
      </c>
      <c r="H233" s="14" t="str">
        <f>INDEX('Woolworths Products'!$G$2:$G$208,MATCH($E233,'Woolworths Products'!$A$2:$A$208,0))</f>
        <v>g</v>
      </c>
      <c r="I233" s="14">
        <f>INDEX('Woolworths Products'!$F$2:$F$208,MATCH($E233,'Woolworths Products'!$A$2:$A$208,0))</f>
        <v>500</v>
      </c>
      <c r="J233" s="14">
        <f>INDEX('Woolworths Products'!$E$2:$E$208,MATCH($E233,'Woolworths Products'!$A$2:$A$208,0))</f>
        <v>67.989999999999995</v>
      </c>
      <c r="K233" s="5">
        <f>IF(COUNTIFS($A$2:A233,A233,$E$2:E233,E233)=1,ROUNDUP(SUMIFS($G:$G,$A:$A,A233,$E:$E,E233)/I233,0),0)</f>
        <v>1</v>
      </c>
      <c r="L233" s="5">
        <f t="shared" si="22"/>
        <v>67.989999999999995</v>
      </c>
      <c r="M233" s="5">
        <f t="shared" si="23"/>
        <v>67.989999999999995</v>
      </c>
      <c r="N233" s="9"/>
    </row>
    <row r="234" spans="1:14" x14ac:dyDescent="0.2">
      <c r="A234" s="12" t="s">
        <v>45</v>
      </c>
      <c r="B234" s="12" t="s">
        <v>17</v>
      </c>
      <c r="C234" s="12" t="s">
        <v>708</v>
      </c>
      <c r="D234" s="12" t="s">
        <v>298</v>
      </c>
      <c r="E234" s="13" t="s">
        <v>709</v>
      </c>
      <c r="F234" s="14" t="str">
        <f>INDEX('Woolworths Products'!$B$2:$B$208,MATCH($E234,'Woolworths Products'!$A$2:$A$208,0))</f>
        <v>Kellogg's Corn Flakes 500 g</v>
      </c>
      <c r="G234" s="15">
        <v>500</v>
      </c>
      <c r="H234" s="14" t="str">
        <f>INDEX('Woolworths Products'!$G$2:$G$208,MATCH($E234,'Woolworths Products'!$A$2:$A$208,0))</f>
        <v>g</v>
      </c>
      <c r="I234" s="14">
        <f>INDEX('Woolworths Products'!$F$2:$F$208,MATCH($E234,'Woolworths Products'!$A$2:$A$208,0))</f>
        <v>500</v>
      </c>
      <c r="J234" s="14">
        <f>INDEX('Woolworths Products'!$E$2:$E$208,MATCH($E234,'Woolworths Products'!$A$2:$A$208,0))</f>
        <v>58.99</v>
      </c>
      <c r="K234" s="5">
        <f>IF(COUNTIFS($A$2:A234,A234,$E$2:E234,E234)=1,ROUNDUP(SUMIFS($G:$G,$A:$A,A234,$E:$E,E234)/I234,0),0)</f>
        <v>1</v>
      </c>
      <c r="L234" s="5">
        <f t="shared" si="22"/>
        <v>58.99</v>
      </c>
      <c r="M234" s="5">
        <f t="shared" si="23"/>
        <v>58.99</v>
      </c>
      <c r="N234" s="9"/>
    </row>
    <row r="235" spans="1:14" x14ac:dyDescent="0.2">
      <c r="A235" s="12" t="s">
        <v>45</v>
      </c>
      <c r="B235" s="12" t="s">
        <v>17</v>
      </c>
      <c r="C235" s="12" t="s">
        <v>710</v>
      </c>
      <c r="D235" s="12" t="s">
        <v>298</v>
      </c>
      <c r="E235" s="13" t="s">
        <v>711</v>
      </c>
      <c r="F235" s="14" t="str">
        <f>INDEX('Woolworths Products'!$B$2:$B$208,MATCH($E235,'Woolworths Products'!$A$2:$A$208,0))</f>
        <v>Raw Luxury Tree Nuts 100 g</v>
      </c>
      <c r="G235" s="15">
        <v>300</v>
      </c>
      <c r="H235" s="14" t="str">
        <f>INDEX('Woolworths Products'!$G$2:$G$208,MATCH($E235,'Woolworths Products'!$A$2:$A$208,0))</f>
        <v>g</v>
      </c>
      <c r="I235" s="14">
        <f>INDEX('Woolworths Products'!$F$2:$F$208,MATCH($E235,'Woolworths Products'!$A$2:$A$208,0))</f>
        <v>100</v>
      </c>
      <c r="J235" s="14">
        <f>INDEX('Woolworths Products'!$E$2:$E$208,MATCH($E235,'Woolworths Products'!$A$2:$A$208,0))</f>
        <v>69.989999999999995</v>
      </c>
      <c r="K235" s="5">
        <f>IF(COUNTIFS($A$2:A235,A235,$E$2:E235,E235)=1,ROUNDUP(SUMIFS($G:$G,$A:$A,A235,$E:$E,E235)/I235,0),0)</f>
        <v>3</v>
      </c>
      <c r="L235" s="5">
        <f t="shared" si="22"/>
        <v>209.96999999999997</v>
      </c>
      <c r="M235" s="5">
        <f t="shared" si="23"/>
        <v>209.96999999999997</v>
      </c>
      <c r="N235" s="9"/>
    </row>
    <row r="236" spans="1:14" x14ac:dyDescent="0.2">
      <c r="A236" s="12" t="s">
        <v>45</v>
      </c>
      <c r="B236" s="12" t="s">
        <v>17</v>
      </c>
      <c r="C236" s="12" t="s">
        <v>712</v>
      </c>
      <c r="D236" s="12" t="s">
        <v>298</v>
      </c>
      <c r="E236" s="13" t="s">
        <v>713</v>
      </c>
      <c r="F236" s="14" t="str">
        <f>INDEX('Woolworths Products'!$B$2:$B$208,MATCH($E236,'Woolworths Products'!$A$2:$A$208,0))</f>
        <v>Soft Eating Orchard Fruit Mix 400 g</v>
      </c>
      <c r="G236" s="15">
        <v>300</v>
      </c>
      <c r="H236" s="14" t="str">
        <f>INDEX('Woolworths Products'!$G$2:$G$208,MATCH($E236,'Woolworths Products'!$A$2:$A$208,0))</f>
        <v>g</v>
      </c>
      <c r="I236" s="14">
        <f>INDEX('Woolworths Products'!$F$2:$F$208,MATCH($E236,'Woolworths Products'!$A$2:$A$208,0))</f>
        <v>400</v>
      </c>
      <c r="J236" s="14">
        <f>INDEX('Woolworths Products'!$E$2:$E$208,MATCH($E236,'Woolworths Products'!$A$2:$A$208,0))</f>
        <v>104.99</v>
      </c>
      <c r="K236" s="5">
        <f>IF(COUNTIFS($A$2:A236,A236,$E$2:E236,E236)=1,ROUNDUP(SUMIFS($G:$G,$A:$A,A236,$E:$E,E236)/I236,0),0)</f>
        <v>1</v>
      </c>
      <c r="L236" s="5">
        <f t="shared" si="22"/>
        <v>104.99</v>
      </c>
      <c r="M236" s="5">
        <f t="shared" si="23"/>
        <v>78.742499999999993</v>
      </c>
      <c r="N236" s="9"/>
    </row>
    <row r="237" spans="1:14" x14ac:dyDescent="0.2">
      <c r="A237" s="12" t="s">
        <v>45</v>
      </c>
      <c r="B237" s="12" t="s">
        <v>17</v>
      </c>
      <c r="C237" s="12" t="s">
        <v>714</v>
      </c>
      <c r="D237" s="12" t="s">
        <v>298</v>
      </c>
      <c r="E237" s="13" t="s">
        <v>715</v>
      </c>
      <c r="F237" s="14" t="str">
        <f>INDEX('Woolworths Products'!$B$2:$B$208,MATCH($E237,'Woolworths Products'!$A$2:$A$208,0))</f>
        <v>Breakfast Seed Mix 250 g</v>
      </c>
      <c r="G237" s="15">
        <v>250</v>
      </c>
      <c r="H237" s="14" t="str">
        <f>INDEX('Woolworths Products'!$G$2:$G$208,MATCH($E237,'Woolworths Products'!$A$2:$A$208,0))</f>
        <v>g</v>
      </c>
      <c r="I237" s="14">
        <f>INDEX('Woolworths Products'!$F$2:$F$208,MATCH($E237,'Woolworths Products'!$A$2:$A$208,0))</f>
        <v>250</v>
      </c>
      <c r="J237" s="14">
        <f>INDEX('Woolworths Products'!$E$2:$E$208,MATCH($E237,'Woolworths Products'!$A$2:$A$208,0))</f>
        <v>59.99</v>
      </c>
      <c r="K237" s="5">
        <f>IF(COUNTIFS($A$2:A237,A237,$E$2:E237,E237)=1,ROUNDUP(SUMIFS($G:$G,$A:$A,A237,$E:$E,E237)/I237,0),0)</f>
        <v>1</v>
      </c>
      <c r="L237" s="5">
        <f t="shared" si="22"/>
        <v>59.99</v>
      </c>
      <c r="M237" s="5">
        <f t="shared" si="23"/>
        <v>59.99</v>
      </c>
      <c r="N237" s="9"/>
    </row>
    <row r="238" spans="1:14" x14ac:dyDescent="0.2">
      <c r="A238" s="12" t="s">
        <v>45</v>
      </c>
      <c r="B238" s="12" t="s">
        <v>17</v>
      </c>
      <c r="C238" s="12" t="s">
        <v>716</v>
      </c>
      <c r="D238" s="12" t="s">
        <v>298</v>
      </c>
      <c r="E238" s="13" t="s">
        <v>717</v>
      </c>
      <c r="F238" s="14" t="str">
        <f>INDEX('Woolworths Products'!$B$2:$B$208,MATCH($E238,'Woolworths Products'!$A$2:$A$208,0))</f>
        <v>Self-Raising Wheat Flour 1 kg</v>
      </c>
      <c r="G238" s="15">
        <v>1000</v>
      </c>
      <c r="H238" s="14" t="str">
        <f>INDEX('Woolworths Products'!$G$2:$G$208,MATCH($E238,'Woolworths Products'!$A$2:$A$208,0))</f>
        <v>g</v>
      </c>
      <c r="I238" s="14">
        <f>INDEX('Woolworths Products'!$F$2:$F$208,MATCH($E238,'Woolworths Products'!$A$2:$A$208,0))</f>
        <v>1000</v>
      </c>
      <c r="J238" s="14">
        <f>INDEX('Woolworths Products'!$E$2:$E$208,MATCH($E238,'Woolworths Products'!$A$2:$A$208,0))</f>
        <v>24.99</v>
      </c>
      <c r="K238" s="5">
        <f>IF(COUNTIFS($A$2:A238,A238,$E$2:E238,E238)=1,ROUNDUP(SUMIFS($G:$G,$A:$A,A238,$E:$E,E238)/I238,0),0)</f>
        <v>1</v>
      </c>
      <c r="L238" s="5">
        <f t="shared" si="22"/>
        <v>24.99</v>
      </c>
      <c r="M238" s="5">
        <f t="shared" si="23"/>
        <v>24.99</v>
      </c>
      <c r="N238" s="9"/>
    </row>
    <row r="239" spans="1:14" x14ac:dyDescent="0.2">
      <c r="A239" s="12" t="s">
        <v>45</v>
      </c>
      <c r="B239" s="12" t="s">
        <v>17</v>
      </c>
      <c r="C239" s="12" t="s">
        <v>718</v>
      </c>
      <c r="D239" s="12" t="s">
        <v>298</v>
      </c>
      <c r="E239" s="13" t="s">
        <v>359</v>
      </c>
      <c r="F239" s="14" t="str">
        <f>INDEX('Woolworths Products'!$B$2:$B$208,MATCH($E239,'Woolworths Products'!$A$2:$A$208,0))</f>
        <v>Baking Powder 100 g</v>
      </c>
      <c r="G239" s="15">
        <v>8</v>
      </c>
      <c r="H239" s="14" t="str">
        <f>INDEX('Woolworths Products'!$G$2:$G$208,MATCH($E239,'Woolworths Products'!$A$2:$A$208,0))</f>
        <v>g</v>
      </c>
      <c r="I239" s="14">
        <f>INDEX('Woolworths Products'!$F$2:$F$208,MATCH($E239,'Woolworths Products'!$A$2:$A$208,0))</f>
        <v>100</v>
      </c>
      <c r="J239" s="14">
        <f>INDEX('Woolworths Products'!$E$2:$E$208,MATCH($E239,'Woolworths Products'!$A$2:$A$208,0))</f>
        <v>34.99</v>
      </c>
      <c r="K239" s="5">
        <f>IF(COUNTIFS($A$2:A239,A239,$E$2:E239,E239)=1,ROUNDUP(SUMIFS($G:$G,$A:$A,A239,$E:$E,E239)/I239,0),0)</f>
        <v>1</v>
      </c>
      <c r="L239" s="5">
        <f t="shared" si="22"/>
        <v>34.99</v>
      </c>
      <c r="M239" s="5">
        <f t="shared" si="23"/>
        <v>2.7992000000000004</v>
      </c>
      <c r="N239" s="9"/>
    </row>
    <row r="240" spans="1:14" x14ac:dyDescent="0.2">
      <c r="A240" s="13" t="s">
        <v>45</v>
      </c>
      <c r="B240" s="13" t="s">
        <v>17</v>
      </c>
      <c r="C240" s="13" t="s">
        <v>719</v>
      </c>
      <c r="D240" s="13" t="s">
        <v>349</v>
      </c>
      <c r="E240" s="13"/>
      <c r="L240" s="5">
        <v>0</v>
      </c>
      <c r="M240" s="5">
        <v>0</v>
      </c>
      <c r="N240" s="9" t="s">
        <v>348</v>
      </c>
    </row>
    <row r="241" spans="1:14" x14ac:dyDescent="0.2">
      <c r="A241" s="12" t="s">
        <v>45</v>
      </c>
      <c r="B241" s="12" t="s">
        <v>17</v>
      </c>
      <c r="C241" s="12" t="s">
        <v>720</v>
      </c>
      <c r="D241" s="12" t="s">
        <v>298</v>
      </c>
      <c r="E241" s="13" t="s">
        <v>721</v>
      </c>
      <c r="F241" s="14" t="str">
        <f>INDEX('Woolworths Products'!$B$2:$B$208,MATCH($E241,'Woolworths Products'!$A$2:$A$208,0))</f>
        <v>Light Brown Sugar 1 kg</v>
      </c>
      <c r="G241" s="15">
        <v>400</v>
      </c>
      <c r="H241" s="14" t="str">
        <f>INDEX('Woolworths Products'!$G$2:$G$208,MATCH($E241,'Woolworths Products'!$A$2:$A$208,0))</f>
        <v>g</v>
      </c>
      <c r="I241" s="14">
        <f>INDEX('Woolworths Products'!$F$2:$F$208,MATCH($E241,'Woolworths Products'!$A$2:$A$208,0))</f>
        <v>1000</v>
      </c>
      <c r="J241" s="14">
        <f>INDEX('Woolworths Products'!$E$2:$E$208,MATCH($E241,'Woolworths Products'!$A$2:$A$208,0))</f>
        <v>35.99</v>
      </c>
      <c r="K241" s="5">
        <f>IF(COUNTIFS($A$2:A241,A241,$E$2:E241,E241)=1,ROUNDUP(SUMIFS($G:$G,$A:$A,A241,$E:$E,E241)/I241,0),0)</f>
        <v>1</v>
      </c>
      <c r="L241" s="5">
        <f t="shared" ref="L241:L246" si="24">K241*J241</f>
        <v>35.99</v>
      </c>
      <c r="M241" s="5">
        <f t="shared" ref="M241:M246" si="25">G241/I241*J241</f>
        <v>14.396000000000001</v>
      </c>
      <c r="N241" s="9"/>
    </row>
    <row r="242" spans="1:14" x14ac:dyDescent="0.2">
      <c r="A242" s="12" t="s">
        <v>45</v>
      </c>
      <c r="B242" s="12" t="s">
        <v>17</v>
      </c>
      <c r="C242" s="12" t="s">
        <v>722</v>
      </c>
      <c r="D242" s="12" t="s">
        <v>298</v>
      </c>
      <c r="E242" s="13" t="s">
        <v>311</v>
      </c>
      <c r="F242" s="14" t="str">
        <f>INDEX('Woolworths Products'!$B$2:$B$208,MATCH($E242,'Woolworths Products'!$A$2:$A$208,0))</f>
        <v>Free Range Mixed Sizes Chilled Eggs 6 pk</v>
      </c>
      <c r="G242" s="15">
        <v>2</v>
      </c>
      <c r="H242" s="14" t="str">
        <f>INDEX('Woolworths Products'!$G$2:$G$208,MATCH($E242,'Woolworths Products'!$A$2:$A$208,0))</f>
        <v>ea</v>
      </c>
      <c r="I242" s="14">
        <f>INDEX('Woolworths Products'!$F$2:$F$208,MATCH($E242,'Woolworths Products'!$A$2:$A$208,0))</f>
        <v>6</v>
      </c>
      <c r="J242" s="14">
        <f>INDEX('Woolworths Products'!$E$2:$E$208,MATCH($E242,'Woolworths Products'!$A$2:$A$208,0))</f>
        <v>29.99</v>
      </c>
      <c r="K242" s="5">
        <f>IF(COUNTIFS($A$2:A242,A242,$E$2:E242,E242)=1,ROUNDUP(SUMIFS($G:$G,$A:$A,A242,$E:$E,E242)/I242,0),0)</f>
        <v>1</v>
      </c>
      <c r="L242" s="5">
        <f t="shared" si="24"/>
        <v>29.99</v>
      </c>
      <c r="M242" s="5">
        <f t="shared" si="25"/>
        <v>9.9966666666666661</v>
      </c>
      <c r="N242" s="9"/>
    </row>
    <row r="243" spans="1:14" x14ac:dyDescent="0.2">
      <c r="A243" s="12" t="s">
        <v>45</v>
      </c>
      <c r="B243" s="12" t="s">
        <v>17</v>
      </c>
      <c r="C243" s="12" t="s">
        <v>723</v>
      </c>
      <c r="D243" s="12" t="s">
        <v>298</v>
      </c>
      <c r="E243" s="13" t="s">
        <v>365</v>
      </c>
      <c r="F243" s="14" t="str">
        <f>INDEX('Woolworths Products'!$B$2:$B$208,MATCH($E243,'Woolworths Products'!$A$2:$A$208,0))</f>
        <v>Salted Butter 250 g</v>
      </c>
      <c r="G243" s="15">
        <v>500</v>
      </c>
      <c r="H243" s="14" t="str">
        <f>INDEX('Woolworths Products'!$G$2:$G$208,MATCH($E243,'Woolworths Products'!$A$2:$A$208,0))</f>
        <v>g</v>
      </c>
      <c r="I243" s="14">
        <f>INDEX('Woolworths Products'!$F$2:$F$208,MATCH($E243,'Woolworths Products'!$A$2:$A$208,0))</f>
        <v>250</v>
      </c>
      <c r="J243" s="14">
        <f>INDEX('Woolworths Products'!$E$2:$E$208,MATCH($E243,'Woolworths Products'!$A$2:$A$208,0))</f>
        <v>68.989999999999995</v>
      </c>
      <c r="K243" s="5">
        <f>IF(COUNTIFS($A$2:A243,A243,$E$2:E243,E243)=1,ROUNDUP(SUMIFS($G:$G,$A:$A,A243,$E:$E,E243)/I243,0),0)</f>
        <v>0</v>
      </c>
      <c r="L243" s="5">
        <f t="shared" si="24"/>
        <v>0</v>
      </c>
      <c r="M243" s="5">
        <f t="shared" si="25"/>
        <v>137.97999999999999</v>
      </c>
      <c r="N243" s="9"/>
    </row>
    <row r="244" spans="1:14" x14ac:dyDescent="0.2">
      <c r="A244" s="12" t="s">
        <v>45</v>
      </c>
      <c r="B244" s="12" t="s">
        <v>17</v>
      </c>
      <c r="C244" s="12" t="s">
        <v>724</v>
      </c>
      <c r="D244" s="12" t="s">
        <v>298</v>
      </c>
      <c r="E244" s="13" t="s">
        <v>725</v>
      </c>
      <c r="F244" s="14" t="str">
        <f>INDEX('Woolworths Products'!$B$2:$B$208,MATCH($E244,'Woolworths Products'!$A$2:$A$208,0))</f>
        <v>Ayrshire Cultured Low Fat Buttermilk 500 ml</v>
      </c>
      <c r="G244" s="15">
        <v>500</v>
      </c>
      <c r="H244" s="14" t="str">
        <f>INDEX('Woolworths Products'!$G$2:$G$208,MATCH($E244,'Woolworths Products'!$A$2:$A$208,0))</f>
        <v>ml</v>
      </c>
      <c r="I244" s="14">
        <f>INDEX('Woolworths Products'!$F$2:$F$208,MATCH($E244,'Woolworths Products'!$A$2:$A$208,0))</f>
        <v>500</v>
      </c>
      <c r="J244" s="14">
        <f>INDEX('Woolworths Products'!$E$2:$E$208,MATCH($E244,'Woolworths Products'!$A$2:$A$208,0))</f>
        <v>18.989999999999998</v>
      </c>
      <c r="K244" s="5">
        <f>IF(COUNTIFS($A$2:A244,A244,$E$2:E244,E244)=1,ROUNDUP(SUMIFS($G:$G,$A:$A,A244,$E:$E,E244)/I244,0),0)</f>
        <v>1</v>
      </c>
      <c r="L244" s="5">
        <f t="shared" si="24"/>
        <v>18.989999999999998</v>
      </c>
      <c r="M244" s="5">
        <f t="shared" si="25"/>
        <v>18.989999999999998</v>
      </c>
      <c r="N244" s="9"/>
    </row>
    <row r="245" spans="1:14" x14ac:dyDescent="0.2">
      <c r="A245" s="12" t="s">
        <v>45</v>
      </c>
      <c r="B245" s="12" t="s">
        <v>17</v>
      </c>
      <c r="C245" s="12" t="s">
        <v>726</v>
      </c>
      <c r="D245" s="12" t="s">
        <v>298</v>
      </c>
      <c r="E245" s="13" t="s">
        <v>363</v>
      </c>
      <c r="F245" s="14" t="str">
        <f>INDEX('Woolworths Products'!$B$2:$B$208,MATCH($E245,'Woolworths Products'!$A$2:$A$208,0))</f>
        <v>Vanilla Essence 50 ml</v>
      </c>
      <c r="G245" s="15">
        <v>5</v>
      </c>
      <c r="H245" s="14" t="str">
        <f>INDEX('Woolworths Products'!$G$2:$G$208,MATCH($E245,'Woolworths Products'!$A$2:$A$208,0))</f>
        <v>ml</v>
      </c>
      <c r="I245" s="14">
        <f>INDEX('Woolworths Products'!$F$2:$F$208,MATCH($E245,'Woolworths Products'!$A$2:$A$208,0))</f>
        <v>50</v>
      </c>
      <c r="J245" s="14">
        <f>INDEX('Woolworths Products'!$E$2:$E$208,MATCH($E245,'Woolworths Products'!$A$2:$A$208,0))</f>
        <v>29.99</v>
      </c>
      <c r="K245" s="5">
        <f>IF(COUNTIFS($A$2:A245,A245,$E$2:E245,E245)=1,ROUNDUP(SUMIFS($G:$G,$A:$A,A245,$E:$E,E245)/I245,0),0)</f>
        <v>1</v>
      </c>
      <c r="L245" s="5">
        <f t="shared" si="24"/>
        <v>29.99</v>
      </c>
      <c r="M245" s="5">
        <f t="shared" si="25"/>
        <v>2.9990000000000001</v>
      </c>
      <c r="N245" s="9"/>
    </row>
    <row r="246" spans="1:14" x14ac:dyDescent="0.2">
      <c r="A246" s="16" t="s">
        <v>46</v>
      </c>
      <c r="B246" s="16" t="s">
        <v>22</v>
      </c>
      <c r="C246" s="16" t="s">
        <v>727</v>
      </c>
      <c r="D246" s="16" t="s">
        <v>298</v>
      </c>
      <c r="E246" s="17" t="s">
        <v>323</v>
      </c>
      <c r="F246" s="18" t="str">
        <f>INDEX('Woolworths Products'!$B$2:$B$208,MATCH($E246,'Woolworths Products'!$A$2:$A$208,0))</f>
        <v>Lemons 3 pk</v>
      </c>
      <c r="G246" s="19">
        <v>6</v>
      </c>
      <c r="H246" s="18" t="str">
        <f>INDEX('Woolworths Products'!$G$2:$G$208,MATCH($E246,'Woolworths Products'!$A$2:$A$208,0))</f>
        <v>ea</v>
      </c>
      <c r="I246" s="18">
        <f>INDEX('Woolworths Products'!$F$2:$F$208,MATCH($E246,'Woolworths Products'!$A$2:$A$208,0))</f>
        <v>3</v>
      </c>
      <c r="J246" s="18">
        <f>INDEX('Woolworths Products'!$E$2:$E$208,MATCH($E246,'Woolworths Products'!$A$2:$A$208,0))</f>
        <v>27.99</v>
      </c>
      <c r="K246" s="20">
        <f>IF(COUNTIFS($A$2:A246,A246,$E$2:E246,E246)=1,ROUNDUP(SUMIFS($G:$G,$A:$A,A246,$E:$E,E246)/I246,0),0)</f>
        <v>4</v>
      </c>
      <c r="L246" s="20">
        <f t="shared" si="24"/>
        <v>111.96</v>
      </c>
      <c r="M246" s="20">
        <f t="shared" si="25"/>
        <v>55.98</v>
      </c>
      <c r="N246" s="21" t="s">
        <v>728</v>
      </c>
    </row>
    <row r="247" spans="1:14" x14ac:dyDescent="0.2">
      <c r="A247" s="13" t="s">
        <v>46</v>
      </c>
      <c r="B247" s="13" t="s">
        <v>22</v>
      </c>
      <c r="C247" s="13" t="s">
        <v>729</v>
      </c>
      <c r="D247" s="13" t="s">
        <v>349</v>
      </c>
      <c r="E247" s="13"/>
      <c r="L247" s="5">
        <v>0</v>
      </c>
      <c r="M247" s="5">
        <v>0</v>
      </c>
      <c r="N247" s="9" t="s">
        <v>729</v>
      </c>
    </row>
    <row r="248" spans="1:14" x14ac:dyDescent="0.2">
      <c r="A248" s="16" t="s">
        <v>46</v>
      </c>
      <c r="B248" s="16" t="s">
        <v>22</v>
      </c>
      <c r="C248" s="16" t="s">
        <v>730</v>
      </c>
      <c r="D248" s="16" t="s">
        <v>298</v>
      </c>
      <c r="E248" s="17" t="s">
        <v>323</v>
      </c>
      <c r="F248" s="18" t="str">
        <f>INDEX('Woolworths Products'!$B$2:$B$208,MATCH($E248,'Woolworths Products'!$A$2:$A$208,0))</f>
        <v>Lemons 3 pk</v>
      </c>
      <c r="G248" s="19">
        <v>4</v>
      </c>
      <c r="H248" s="18" t="str">
        <f>INDEX('Woolworths Products'!$G$2:$G$208,MATCH($E248,'Woolworths Products'!$A$2:$A$208,0))</f>
        <v>ea</v>
      </c>
      <c r="I248" s="18">
        <f>INDEX('Woolworths Products'!$F$2:$F$208,MATCH($E248,'Woolworths Products'!$A$2:$A$208,0))</f>
        <v>3</v>
      </c>
      <c r="J248" s="18">
        <f>INDEX('Woolworths Products'!$E$2:$E$208,MATCH($E248,'Woolworths Products'!$A$2:$A$208,0))</f>
        <v>27.99</v>
      </c>
      <c r="K248" s="20">
        <f>IF(COUNTIFS($A$2:A248,A248,$E$2:E248,E248)=1,ROUNDUP(SUMIFS($G:$G,$A:$A,A248,$E:$E,E248)/I248,0),0)</f>
        <v>0</v>
      </c>
      <c r="L248" s="20">
        <f t="shared" ref="L248:L262" si="26">K248*J248</f>
        <v>0</v>
      </c>
      <c r="M248" s="20">
        <f t="shared" ref="M248:M262" si="27">G248/I248*J248</f>
        <v>37.319999999999993</v>
      </c>
      <c r="N248" s="21" t="s">
        <v>731</v>
      </c>
    </row>
    <row r="249" spans="1:14" x14ac:dyDescent="0.2">
      <c r="A249" s="16" t="s">
        <v>47</v>
      </c>
      <c r="B249" s="16" t="s">
        <v>48</v>
      </c>
      <c r="C249" s="16" t="s">
        <v>732</v>
      </c>
      <c r="D249" s="16" t="s">
        <v>298</v>
      </c>
      <c r="E249" s="17" t="s">
        <v>733</v>
      </c>
      <c r="F249" s="18" t="str">
        <f>INDEX('Woolworths Products'!$B$2:$B$208,MATCH($E249,'Woolworths Products'!$A$2:$A$208,0))</f>
        <v>Golden Delicious Apples 4 pk</v>
      </c>
      <c r="G249" s="19">
        <v>4</v>
      </c>
      <c r="H249" s="18" t="str">
        <f>INDEX('Woolworths Products'!$G$2:$G$208,MATCH($E249,'Woolworths Products'!$A$2:$A$208,0))</f>
        <v>ea</v>
      </c>
      <c r="I249" s="18">
        <f>INDEX('Woolworths Products'!$F$2:$F$208,MATCH($E249,'Woolworths Products'!$A$2:$A$208,0))</f>
        <v>4</v>
      </c>
      <c r="J249" s="18">
        <f>INDEX('Woolworths Products'!$E$2:$E$208,MATCH($E249,'Woolworths Products'!$A$2:$A$208,0))</f>
        <v>27.99</v>
      </c>
      <c r="K249" s="20">
        <f>IF(COUNTIFS($A$2:A249,A249,$E$2:E249,E249)=1,ROUNDUP(SUMIFS($G:$G,$A:$A,A249,$E:$E,E249)/I249,0),0)</f>
        <v>1</v>
      </c>
      <c r="L249" s="20">
        <f t="shared" si="26"/>
        <v>27.99</v>
      </c>
      <c r="M249" s="20">
        <f t="shared" si="27"/>
        <v>27.99</v>
      </c>
      <c r="N249" s="21" t="s">
        <v>734</v>
      </c>
    </row>
    <row r="250" spans="1:14" x14ac:dyDescent="0.2">
      <c r="A250" s="16" t="s">
        <v>47</v>
      </c>
      <c r="B250" s="16" t="s">
        <v>48</v>
      </c>
      <c r="C250" s="16" t="s">
        <v>735</v>
      </c>
      <c r="D250" s="16" t="s">
        <v>298</v>
      </c>
      <c r="E250" s="17" t="s">
        <v>589</v>
      </c>
      <c r="F250" s="18" t="str">
        <f>INDEX('Woolworths Products'!$B$2:$B$208,MATCH($E250,'Woolworths Products'!$A$2:$A$208,0))</f>
        <v>Raw Flaked Almonds 100 g</v>
      </c>
      <c r="G250" s="19">
        <v>30</v>
      </c>
      <c r="H250" s="18" t="str">
        <f>INDEX('Woolworths Products'!$G$2:$G$208,MATCH($E250,'Woolworths Products'!$A$2:$A$208,0))</f>
        <v>g</v>
      </c>
      <c r="I250" s="18">
        <f>INDEX('Woolworths Products'!$F$2:$F$208,MATCH($E250,'Woolworths Products'!$A$2:$A$208,0))</f>
        <v>100</v>
      </c>
      <c r="J250" s="18">
        <f>INDEX('Woolworths Products'!$E$2:$E$208,MATCH($E250,'Woolworths Products'!$A$2:$A$208,0))</f>
        <v>64.989999999999995</v>
      </c>
      <c r="K250" s="20">
        <f>IF(COUNTIFS($A$2:A250,A250,$E$2:E250,E250)=1,ROUNDUP(SUMIFS($G:$G,$A:$A,A250,$E:$E,E250)/I250,0),0)</f>
        <v>1</v>
      </c>
      <c r="L250" s="20">
        <f t="shared" si="26"/>
        <v>64.989999999999995</v>
      </c>
      <c r="M250" s="20">
        <f t="shared" si="27"/>
        <v>19.496999999999996</v>
      </c>
      <c r="N250" s="21" t="s">
        <v>546</v>
      </c>
    </row>
    <row r="251" spans="1:14" x14ac:dyDescent="0.2">
      <c r="A251" s="16" t="s">
        <v>47</v>
      </c>
      <c r="B251" s="16" t="s">
        <v>48</v>
      </c>
      <c r="C251" s="16" t="s">
        <v>736</v>
      </c>
      <c r="D251" s="16" t="s">
        <v>298</v>
      </c>
      <c r="E251" s="17" t="s">
        <v>737</v>
      </c>
      <c r="F251" s="18" t="str">
        <f>INDEX('Woolworths Products'!$B$2:$B$208,MATCH($E251,'Woolworths Products'!$A$2:$A$208,0))</f>
        <v>Fynbos Honey 250 g</v>
      </c>
      <c r="G251" s="19">
        <v>30</v>
      </c>
      <c r="H251" s="18" t="str">
        <f>INDEX('Woolworths Products'!$G$2:$G$208,MATCH($E251,'Woolworths Products'!$A$2:$A$208,0))</f>
        <v>g</v>
      </c>
      <c r="I251" s="18">
        <f>INDEX('Woolworths Products'!$F$2:$F$208,MATCH($E251,'Woolworths Products'!$A$2:$A$208,0))</f>
        <v>250</v>
      </c>
      <c r="J251" s="18">
        <f>INDEX('Woolworths Products'!$E$2:$E$208,MATCH($E251,'Woolworths Products'!$A$2:$A$208,0))</f>
        <v>71.989999999999995</v>
      </c>
      <c r="K251" s="20">
        <f>IF(COUNTIFS($A$2:A251,A251,$E$2:E251,E251)=1,ROUNDUP(SUMIFS($G:$G,$A:$A,A251,$E:$E,E251)/I251,0),0)</f>
        <v>1</v>
      </c>
      <c r="L251" s="20">
        <f t="shared" si="26"/>
        <v>71.989999999999995</v>
      </c>
      <c r="M251" s="20">
        <f t="shared" si="27"/>
        <v>8.6387999999999998</v>
      </c>
      <c r="N251" s="21" t="s">
        <v>623</v>
      </c>
    </row>
    <row r="252" spans="1:14" x14ac:dyDescent="0.2">
      <c r="A252" s="16" t="s">
        <v>47</v>
      </c>
      <c r="B252" s="16" t="s">
        <v>48</v>
      </c>
      <c r="C252" s="16" t="s">
        <v>738</v>
      </c>
      <c r="D252" s="16" t="s">
        <v>298</v>
      </c>
      <c r="E252" s="17" t="s">
        <v>367</v>
      </c>
      <c r="F252" s="18" t="str">
        <f>INDEX('Woolworths Products'!$B$2:$B$208,MATCH($E252,'Woolworths Products'!$A$2:$A$208,0))</f>
        <v>Finely Ground Cinnamon Refill 30 g</v>
      </c>
      <c r="G252" s="19">
        <v>3</v>
      </c>
      <c r="H252" s="18" t="str">
        <f>INDEX('Woolworths Products'!$G$2:$G$208,MATCH($E252,'Woolworths Products'!$A$2:$A$208,0))</f>
        <v>g</v>
      </c>
      <c r="I252" s="18">
        <f>INDEX('Woolworths Products'!$F$2:$F$208,MATCH($E252,'Woolworths Products'!$A$2:$A$208,0))</f>
        <v>30</v>
      </c>
      <c r="J252" s="18">
        <f>INDEX('Woolworths Products'!$E$2:$E$208,MATCH($E252,'Woolworths Products'!$A$2:$A$208,0))</f>
        <v>29.99</v>
      </c>
      <c r="K252" s="20">
        <f>IF(COUNTIFS($A$2:A252,A252,$E$2:E252,E252)=1,ROUNDUP(SUMIFS($G:$G,$A:$A,A252,$E:$E,E252)/I252,0),0)</f>
        <v>1</v>
      </c>
      <c r="L252" s="20">
        <f t="shared" si="26"/>
        <v>29.99</v>
      </c>
      <c r="M252" s="20">
        <f t="shared" si="27"/>
        <v>2.9990000000000001</v>
      </c>
      <c r="N252" s="21" t="s">
        <v>739</v>
      </c>
    </row>
    <row r="253" spans="1:14" x14ac:dyDescent="0.2">
      <c r="A253" s="16" t="s">
        <v>47</v>
      </c>
      <c r="B253" s="16" t="s">
        <v>48</v>
      </c>
      <c r="C253" s="16" t="s">
        <v>740</v>
      </c>
      <c r="D253" s="16" t="s">
        <v>298</v>
      </c>
      <c r="E253" s="17" t="s">
        <v>418</v>
      </c>
      <c r="F253" s="18" t="str">
        <f>INDEX('Woolworths Products'!$B$2:$B$208,MATCH($E253,'Woolworths Products'!$A$2:$A$208,0))</f>
        <v>Ayrshire Full Cream Plain Yoghurt 500 g</v>
      </c>
      <c r="G253" s="19">
        <v>200</v>
      </c>
      <c r="H253" s="18" t="str">
        <f>INDEX('Woolworths Products'!$G$2:$G$208,MATCH($E253,'Woolworths Products'!$A$2:$A$208,0))</f>
        <v>g</v>
      </c>
      <c r="I253" s="18">
        <f>INDEX('Woolworths Products'!$F$2:$F$208,MATCH($E253,'Woolworths Products'!$A$2:$A$208,0))</f>
        <v>500</v>
      </c>
      <c r="J253" s="18">
        <f>INDEX('Woolworths Products'!$E$2:$E$208,MATCH($E253,'Woolworths Products'!$A$2:$A$208,0))</f>
        <v>39.99</v>
      </c>
      <c r="K253" s="20">
        <f>IF(COUNTIFS($A$2:A253,A253,$E$2:E253,E253)=1,ROUNDUP(SUMIFS($G:$G,$A:$A,A253,$E:$E,E253)/I253,0),0)</f>
        <v>1</v>
      </c>
      <c r="L253" s="20">
        <f t="shared" si="26"/>
        <v>39.99</v>
      </c>
      <c r="M253" s="20">
        <f t="shared" si="27"/>
        <v>15.996000000000002</v>
      </c>
      <c r="N253" s="21" t="s">
        <v>741</v>
      </c>
    </row>
    <row r="254" spans="1:14" x14ac:dyDescent="0.2">
      <c r="A254" s="12" t="s">
        <v>49</v>
      </c>
      <c r="B254" s="12" t="s">
        <v>50</v>
      </c>
      <c r="C254" s="12" t="s">
        <v>742</v>
      </c>
      <c r="D254" s="12" t="s">
        <v>298</v>
      </c>
      <c r="E254" s="13" t="s">
        <v>526</v>
      </c>
      <c r="F254" s="14" t="str">
        <f>INDEX('Woolworths Products'!$B$2:$B$208,MATCH($E254,'Woolworths Products'!$A$2:$A$208,0))</f>
        <v>Whole Wheat Fusilli 500 g</v>
      </c>
      <c r="G254" s="15">
        <v>180</v>
      </c>
      <c r="H254" s="14" t="str">
        <f>INDEX('Woolworths Products'!$G$2:$G$208,MATCH($E254,'Woolworths Products'!$A$2:$A$208,0))</f>
        <v>g</v>
      </c>
      <c r="I254" s="14">
        <f>INDEX('Woolworths Products'!$F$2:$F$208,MATCH($E254,'Woolworths Products'!$A$2:$A$208,0))</f>
        <v>500</v>
      </c>
      <c r="J254" s="14">
        <f>INDEX('Woolworths Products'!$E$2:$E$208,MATCH($E254,'Woolworths Products'!$A$2:$A$208,0))</f>
        <v>47.99</v>
      </c>
      <c r="K254" s="5">
        <f>IF(COUNTIFS($A$2:A254,A254,$E$2:E254,E254)=1,ROUNDUP(SUMIFS($G:$G,$A:$A,A254,$E:$E,E254)/I254,0),0)</f>
        <v>1</v>
      </c>
      <c r="L254" s="5">
        <f t="shared" si="26"/>
        <v>47.99</v>
      </c>
      <c r="M254" s="5">
        <f t="shared" si="27"/>
        <v>17.276399999999999</v>
      </c>
      <c r="N254" s="9"/>
    </row>
    <row r="255" spans="1:14" x14ac:dyDescent="0.2">
      <c r="A255" s="12" t="s">
        <v>49</v>
      </c>
      <c r="B255" s="12" t="s">
        <v>50</v>
      </c>
      <c r="C255" s="12" t="s">
        <v>743</v>
      </c>
      <c r="D255" s="12" t="s">
        <v>298</v>
      </c>
      <c r="E255" s="13" t="s">
        <v>744</v>
      </c>
      <c r="F255" s="14" t="str">
        <f>INDEX('Woolworths Products'!$B$2:$B$208,MATCH($E255,'Woolworths Products'!$A$2:$A$208,0))</f>
        <v>Whole Broccoli Avg 400 g</v>
      </c>
      <c r="G255" s="15">
        <v>1</v>
      </c>
      <c r="H255" s="14" t="str">
        <f>INDEX('Woolworths Products'!$G$2:$G$208,MATCH($E255,'Woolworths Products'!$A$2:$A$208,0))</f>
        <v>ea</v>
      </c>
      <c r="I255" s="14">
        <f>INDEX('Woolworths Products'!$F$2:$F$208,MATCH($E255,'Woolworths Products'!$A$2:$A$208,0))</f>
        <v>1</v>
      </c>
      <c r="J255" s="14">
        <f>INDEX('Woolworths Products'!$E$2:$E$208,MATCH($E255,'Woolworths Products'!$A$2:$A$208,0))</f>
        <v>28.88</v>
      </c>
      <c r="K255" s="5">
        <f>IF(COUNTIFS($A$2:A255,A255,$E$2:E255,E255)=1,ROUNDUP(SUMIFS($G:$G,$A:$A,A255,$E:$E,E255)/I255,0),0)</f>
        <v>1</v>
      </c>
      <c r="L255" s="5">
        <f t="shared" si="26"/>
        <v>28.88</v>
      </c>
      <c r="M255" s="5">
        <f t="shared" si="27"/>
        <v>28.88</v>
      </c>
      <c r="N255" s="9" t="s">
        <v>432</v>
      </c>
    </row>
    <row r="256" spans="1:14" x14ac:dyDescent="0.2">
      <c r="A256" s="12" t="s">
        <v>49</v>
      </c>
      <c r="B256" s="12" t="s">
        <v>50</v>
      </c>
      <c r="C256" s="12" t="s">
        <v>745</v>
      </c>
      <c r="D256" s="12" t="s">
        <v>298</v>
      </c>
      <c r="E256" s="13" t="s">
        <v>530</v>
      </c>
      <c r="F256" s="14" t="str">
        <f>INDEX('Woolworths Products'!$B$2:$B$208,MATCH($E256,'Woolworths Products'!$A$2:$A$208,0))</f>
        <v>Frozen Petits Pois Peas 500 g</v>
      </c>
      <c r="G256" s="15">
        <v>140</v>
      </c>
      <c r="H256" s="14" t="str">
        <f>INDEX('Woolworths Products'!$G$2:$G$208,MATCH($E256,'Woolworths Products'!$A$2:$A$208,0))</f>
        <v>g</v>
      </c>
      <c r="I256" s="14">
        <f>INDEX('Woolworths Products'!$F$2:$F$208,MATCH($E256,'Woolworths Products'!$A$2:$A$208,0))</f>
        <v>500</v>
      </c>
      <c r="J256" s="14">
        <f>INDEX('Woolworths Products'!$E$2:$E$208,MATCH($E256,'Woolworths Products'!$A$2:$A$208,0))</f>
        <v>49.99</v>
      </c>
      <c r="K256" s="5">
        <f>IF(COUNTIFS($A$2:A256,A256,$E$2:E256,E256)=1,ROUNDUP(SUMIFS($G:$G,$A:$A,A256,$E:$E,E256)/I256,0),0)</f>
        <v>1</v>
      </c>
      <c r="L256" s="5">
        <f t="shared" si="26"/>
        <v>49.99</v>
      </c>
      <c r="M256" s="5">
        <f t="shared" si="27"/>
        <v>13.997200000000001</v>
      </c>
      <c r="N256" s="9"/>
    </row>
    <row r="257" spans="1:14" x14ac:dyDescent="0.2">
      <c r="A257" s="12" t="s">
        <v>49</v>
      </c>
      <c r="B257" s="12" t="s">
        <v>50</v>
      </c>
      <c r="C257" s="12" t="s">
        <v>746</v>
      </c>
      <c r="D257" s="12" t="s">
        <v>298</v>
      </c>
      <c r="E257" s="13" t="s">
        <v>747</v>
      </c>
      <c r="F257" s="14" t="str">
        <f>INDEX('Woolworths Products'!$B$2:$B$208,MATCH($E257,'Woolworths Products'!$A$2:$A$208,0))</f>
        <v>Organic Full Cream Plain Smooth Cottage Cheese 250 g</v>
      </c>
      <c r="G257" s="15">
        <v>250</v>
      </c>
      <c r="H257" s="14" t="str">
        <f>INDEX('Woolworths Products'!$G$2:$G$208,MATCH($E257,'Woolworths Products'!$A$2:$A$208,0))</f>
        <v>g</v>
      </c>
      <c r="I257" s="14">
        <f>INDEX('Woolworths Products'!$F$2:$F$208,MATCH($E257,'Woolworths Products'!$A$2:$A$208,0))</f>
        <v>250</v>
      </c>
      <c r="J257" s="14">
        <f>INDEX('Woolworths Products'!$E$2:$E$208,MATCH($E257,'Woolworths Products'!$A$2:$A$208,0))</f>
        <v>53.99</v>
      </c>
      <c r="K257" s="5">
        <f>IF(COUNTIFS($A$2:A257,A257,$E$2:E257,E257)=1,ROUNDUP(SUMIFS($G:$G,$A:$A,A257,$E:$E,E257)/I257,0),0)</f>
        <v>1</v>
      </c>
      <c r="L257" s="5">
        <f t="shared" si="26"/>
        <v>53.99</v>
      </c>
      <c r="M257" s="5">
        <f t="shared" si="27"/>
        <v>53.99</v>
      </c>
      <c r="N257" s="9"/>
    </row>
    <row r="258" spans="1:14" x14ac:dyDescent="0.2">
      <c r="A258" s="12" t="s">
        <v>49</v>
      </c>
      <c r="B258" s="12" t="s">
        <v>50</v>
      </c>
      <c r="C258" s="12" t="s">
        <v>748</v>
      </c>
      <c r="D258" s="12" t="s">
        <v>298</v>
      </c>
      <c r="E258" s="13" t="s">
        <v>749</v>
      </c>
      <c r="F258" s="14" t="str">
        <f>INDEX('Woolworths Products'!$B$2:$B$208,MATCH($E258,'Woolworths Products'!$A$2:$A$208,0))</f>
        <v>Basil Pesto 140 g</v>
      </c>
      <c r="G258" s="15">
        <v>45</v>
      </c>
      <c r="H258" s="14" t="str">
        <f>INDEX('Woolworths Products'!$G$2:$G$208,MATCH($E258,'Woolworths Products'!$A$2:$A$208,0))</f>
        <v>g</v>
      </c>
      <c r="I258" s="14">
        <f>INDEX('Woolworths Products'!$F$2:$F$208,MATCH($E258,'Woolworths Products'!$A$2:$A$208,0))</f>
        <v>140</v>
      </c>
      <c r="J258" s="14">
        <f>INDEX('Woolworths Products'!$E$2:$E$208,MATCH($E258,'Woolworths Products'!$A$2:$A$208,0))</f>
        <v>69.989999999999995</v>
      </c>
      <c r="K258" s="5">
        <f>IF(COUNTIFS($A$2:A258,A258,$E$2:E258,E258)=1,ROUNDUP(SUMIFS($G:$G,$A:$A,A258,$E:$E,E258)/I258,0),0)</f>
        <v>1</v>
      </c>
      <c r="L258" s="5">
        <f t="shared" si="26"/>
        <v>69.989999999999995</v>
      </c>
      <c r="M258" s="5">
        <f t="shared" si="27"/>
        <v>22.496785714285714</v>
      </c>
      <c r="N258" s="9"/>
    </row>
    <row r="259" spans="1:14" x14ac:dyDescent="0.2">
      <c r="A259" s="12" t="s">
        <v>49</v>
      </c>
      <c r="B259" s="12" t="s">
        <v>50</v>
      </c>
      <c r="C259" s="12" t="s">
        <v>750</v>
      </c>
      <c r="D259" s="12" t="s">
        <v>298</v>
      </c>
      <c r="E259" s="13" t="s">
        <v>323</v>
      </c>
      <c r="F259" s="14" t="str">
        <f>INDEX('Woolworths Products'!$B$2:$B$208,MATCH($E259,'Woolworths Products'!$A$2:$A$208,0))</f>
        <v>Lemons 3 pk</v>
      </c>
      <c r="G259" s="15">
        <v>1</v>
      </c>
      <c r="H259" s="14" t="str">
        <f>INDEX('Woolworths Products'!$G$2:$G$208,MATCH($E259,'Woolworths Products'!$A$2:$A$208,0))</f>
        <v>ea</v>
      </c>
      <c r="I259" s="14">
        <f>INDEX('Woolworths Products'!$F$2:$F$208,MATCH($E259,'Woolworths Products'!$A$2:$A$208,0))</f>
        <v>3</v>
      </c>
      <c r="J259" s="14">
        <f>INDEX('Woolworths Products'!$E$2:$E$208,MATCH($E259,'Woolworths Products'!$A$2:$A$208,0))</f>
        <v>27.99</v>
      </c>
      <c r="K259" s="5">
        <f>IF(COUNTIFS($A$2:A259,A259,$E$2:E259,E259)=1,ROUNDUP(SUMIFS($G:$G,$A:$A,A259,$E:$E,E259)/I259,0),0)</f>
        <v>1</v>
      </c>
      <c r="L259" s="5">
        <f t="shared" si="26"/>
        <v>27.99</v>
      </c>
      <c r="M259" s="5">
        <f t="shared" si="27"/>
        <v>9.3299999999999983</v>
      </c>
      <c r="N259" s="9"/>
    </row>
    <row r="260" spans="1:14" x14ac:dyDescent="0.2">
      <c r="A260" s="12" t="s">
        <v>49</v>
      </c>
      <c r="B260" s="12" t="s">
        <v>50</v>
      </c>
      <c r="C260" s="12" t="s">
        <v>340</v>
      </c>
      <c r="D260" s="12" t="s">
        <v>298</v>
      </c>
      <c r="E260" s="13" t="s">
        <v>318</v>
      </c>
      <c r="F260" s="14" t="str">
        <f>INDEX('Woolworths Products'!$B$2:$B$208,MATCH($E260,'Woolworths Products'!$A$2:$A$208,0))</f>
        <v>Plain South African Feta Cheese 100 g</v>
      </c>
      <c r="G260" s="15">
        <v>100</v>
      </c>
      <c r="H260" s="14" t="str">
        <f>INDEX('Woolworths Products'!$G$2:$G$208,MATCH($E260,'Woolworths Products'!$A$2:$A$208,0))</f>
        <v>g</v>
      </c>
      <c r="I260" s="14">
        <f>INDEX('Woolworths Products'!$F$2:$F$208,MATCH($E260,'Woolworths Products'!$A$2:$A$208,0))</f>
        <v>100</v>
      </c>
      <c r="J260" s="14">
        <f>INDEX('Woolworths Products'!$E$2:$E$208,MATCH($E260,'Woolworths Products'!$A$2:$A$208,0))</f>
        <v>24.99</v>
      </c>
      <c r="K260" s="5">
        <f>IF(COUNTIFS($A$2:A260,A260,$E$2:E260,E260)=1,ROUNDUP(SUMIFS($G:$G,$A:$A,A260,$E:$E,E260)/I260,0),0)</f>
        <v>1</v>
      </c>
      <c r="L260" s="5">
        <f t="shared" si="26"/>
        <v>24.99</v>
      </c>
      <c r="M260" s="5">
        <f t="shared" si="27"/>
        <v>24.99</v>
      </c>
      <c r="N260" s="9" t="s">
        <v>341</v>
      </c>
    </row>
    <row r="261" spans="1:14" x14ac:dyDescent="0.2">
      <c r="A261" s="12" t="s">
        <v>49</v>
      </c>
      <c r="B261" s="12" t="s">
        <v>50</v>
      </c>
      <c r="C261" s="12" t="s">
        <v>751</v>
      </c>
      <c r="D261" s="12" t="s">
        <v>298</v>
      </c>
      <c r="E261" s="13" t="s">
        <v>486</v>
      </c>
      <c r="F261" s="14" t="str">
        <f>INDEX('Woolworths Products'!$B$2:$B$208,MATCH($E261,'Woolworths Products'!$A$2:$A$208,0))</f>
        <v>Fresh Basil 30 g</v>
      </c>
      <c r="G261" s="15">
        <v>0.5</v>
      </c>
      <c r="H261" s="14" t="str">
        <f>INDEX('Woolworths Products'!$G$2:$G$208,MATCH($E261,'Woolworths Products'!$A$2:$A$208,0))</f>
        <v>punnet</v>
      </c>
      <c r="I261" s="14">
        <f>INDEX('Woolworths Products'!$F$2:$F$208,MATCH($E261,'Woolworths Products'!$A$2:$A$208,0))</f>
        <v>1</v>
      </c>
      <c r="J261" s="14">
        <f>INDEX('Woolworths Products'!$E$2:$E$208,MATCH($E261,'Woolworths Products'!$A$2:$A$208,0))</f>
        <v>15.99</v>
      </c>
      <c r="K261" s="5">
        <f>IF(COUNTIFS($A$2:A261,A261,$E$2:E261,E261)=1,ROUNDUP(SUMIFS($G:$G,$A:$A,A261,$E:$E,E261)/I261,0),0)</f>
        <v>1</v>
      </c>
      <c r="L261" s="5">
        <f t="shared" si="26"/>
        <v>15.99</v>
      </c>
      <c r="M261" s="5">
        <f t="shared" si="27"/>
        <v>7.9950000000000001</v>
      </c>
      <c r="N261" s="9"/>
    </row>
    <row r="262" spans="1:14" x14ac:dyDescent="0.2">
      <c r="A262" s="12" t="s">
        <v>49</v>
      </c>
      <c r="B262" s="12" t="s">
        <v>50</v>
      </c>
      <c r="C262" s="12" t="s">
        <v>752</v>
      </c>
      <c r="D262" s="12" t="s">
        <v>298</v>
      </c>
      <c r="E262" s="13" t="s">
        <v>672</v>
      </c>
      <c r="F262" s="14" t="str">
        <f>INDEX('Woolworths Products'!$B$2:$B$208,MATCH($E262,'Woolworths Products'!$A$2:$A$208,0))</f>
        <v>Fresh Mint 20 g</v>
      </c>
      <c r="G262" s="15">
        <v>0.5</v>
      </c>
      <c r="H262" s="14" t="str">
        <f>INDEX('Woolworths Products'!$G$2:$G$208,MATCH($E262,'Woolworths Products'!$A$2:$A$208,0))</f>
        <v>punnet</v>
      </c>
      <c r="I262" s="14">
        <f>INDEX('Woolworths Products'!$F$2:$F$208,MATCH($E262,'Woolworths Products'!$A$2:$A$208,0))</f>
        <v>1</v>
      </c>
      <c r="J262" s="14">
        <f>INDEX('Woolworths Products'!$E$2:$E$208,MATCH($E262,'Woolworths Products'!$A$2:$A$208,0))</f>
        <v>15.99</v>
      </c>
      <c r="K262" s="5">
        <f>IF(COUNTIFS($A$2:A262,A262,$E$2:E262,E262)=1,ROUNDUP(SUMIFS($G:$G,$A:$A,A262,$E:$E,E262)/I262,0),0)</f>
        <v>1</v>
      </c>
      <c r="L262" s="5">
        <f t="shared" si="26"/>
        <v>15.99</v>
      </c>
      <c r="M262" s="5">
        <f t="shared" si="27"/>
        <v>7.9950000000000001</v>
      </c>
      <c r="N262" s="9"/>
    </row>
    <row r="263" spans="1:14" x14ac:dyDescent="0.2">
      <c r="A263" s="13" t="s">
        <v>49</v>
      </c>
      <c r="B263" s="13" t="s">
        <v>50</v>
      </c>
      <c r="C263" s="13" t="s">
        <v>393</v>
      </c>
      <c r="D263" s="13" t="s">
        <v>349</v>
      </c>
      <c r="E263" s="13"/>
      <c r="L263" s="5">
        <v>0</v>
      </c>
      <c r="M263" s="5">
        <v>0</v>
      </c>
      <c r="N263" s="9" t="s">
        <v>393</v>
      </c>
    </row>
    <row r="264" spans="1:14" x14ac:dyDescent="0.2">
      <c r="A264" s="16" t="s">
        <v>49</v>
      </c>
      <c r="B264" s="16" t="s">
        <v>50</v>
      </c>
      <c r="C264" s="16" t="s">
        <v>753</v>
      </c>
      <c r="D264" s="16" t="s">
        <v>298</v>
      </c>
      <c r="E264" s="17" t="s">
        <v>528</v>
      </c>
      <c r="F264" s="18" t="str">
        <f>INDEX('Woolworths Products'!$B$2:$B$208,MATCH($E264,'Woolworths Products'!$A$2:$A$208,0))</f>
        <v>Light Meat Tuna Shredded in Brine 170 g</v>
      </c>
      <c r="G264" s="19">
        <v>2</v>
      </c>
      <c r="H264" s="18" t="str">
        <f>INDEX('Woolworths Products'!$G$2:$G$208,MATCH($E264,'Woolworths Products'!$A$2:$A$208,0))</f>
        <v>ea</v>
      </c>
      <c r="I264" s="18">
        <f>INDEX('Woolworths Products'!$F$2:$F$208,MATCH($E264,'Woolworths Products'!$A$2:$A$208,0))</f>
        <v>1</v>
      </c>
      <c r="J264" s="18">
        <f>INDEX('Woolworths Products'!$E$2:$E$208,MATCH($E264,'Woolworths Products'!$A$2:$A$208,0))</f>
        <v>28.99</v>
      </c>
      <c r="K264" s="20">
        <f>IF(COUNTIFS($A$2:A264,A264,$E$2:E264,E264)=1,ROUNDUP(SUMIFS($G:$G,$A:$A,A264,$E:$E,E264)/I264,0),0)</f>
        <v>2</v>
      </c>
      <c r="L264" s="20">
        <f>K264*J264</f>
        <v>57.98</v>
      </c>
      <c r="M264" s="20">
        <f>G264/I264*J264</f>
        <v>57.98</v>
      </c>
      <c r="N264" s="21" t="s">
        <v>754</v>
      </c>
    </row>
    <row r="265" spans="1:14" x14ac:dyDescent="0.2">
      <c r="A265" s="16" t="s">
        <v>51</v>
      </c>
      <c r="B265" s="16" t="s">
        <v>14</v>
      </c>
      <c r="C265" s="16" t="s">
        <v>755</v>
      </c>
      <c r="D265" s="16" t="s">
        <v>298</v>
      </c>
      <c r="E265" s="17" t="s">
        <v>756</v>
      </c>
      <c r="F265" s="18" t="str">
        <f>INDEX('Woolworths Products'!$B$2:$B$208,MATCH($E265,'Woolworths Products'!$A$2:$A$208,0))</f>
        <v>Brussels Sprouts 300 g</v>
      </c>
      <c r="G265" s="19">
        <v>1</v>
      </c>
      <c r="H265" s="18" t="str">
        <f>INDEX('Woolworths Products'!$G$2:$G$208,MATCH($E265,'Woolworths Products'!$A$2:$A$208,0))</f>
        <v>ea</v>
      </c>
      <c r="I265" s="18">
        <f>INDEX('Woolworths Products'!$F$2:$F$208,MATCH($E265,'Woolworths Products'!$A$2:$A$208,0))</f>
        <v>1</v>
      </c>
      <c r="J265" s="18">
        <f>INDEX('Woolworths Products'!$E$2:$E$208,MATCH($E265,'Woolworths Products'!$A$2:$A$208,0))</f>
        <v>49.99</v>
      </c>
      <c r="K265" s="20">
        <f>IF(COUNTIFS($A$2:A265,A265,$E$2:E265,E265)=1,ROUNDUP(SUMIFS($G:$G,$A:$A,A265,$E:$E,E265)/I265,0),0)</f>
        <v>1</v>
      </c>
      <c r="L265" s="20">
        <f>K265*J265</f>
        <v>49.99</v>
      </c>
      <c r="M265" s="20">
        <f>G265/I265*J265</f>
        <v>49.99</v>
      </c>
      <c r="N265" s="21" t="s">
        <v>757</v>
      </c>
    </row>
    <row r="266" spans="1:14" x14ac:dyDescent="0.2">
      <c r="A266" s="16" t="s">
        <v>51</v>
      </c>
      <c r="B266" s="16" t="s">
        <v>14</v>
      </c>
      <c r="C266" s="16" t="s">
        <v>334</v>
      </c>
      <c r="D266" s="16" t="s">
        <v>298</v>
      </c>
      <c r="E266" s="17" t="s">
        <v>335</v>
      </c>
      <c r="F266" s="18" t="str">
        <f>INDEX('Woolworths Products'!$B$2:$B$208,MATCH($E266,'Woolworths Products'!$A$2:$A$208,0))</f>
        <v>Extra Virgin Olive Oil Spray 250 ml</v>
      </c>
      <c r="G266" s="19">
        <v>3</v>
      </c>
      <c r="H266" s="18" t="str">
        <f>INDEX('Woolworths Products'!$G$2:$G$208,MATCH($E266,'Woolworths Products'!$A$2:$A$208,0))</f>
        <v>ml</v>
      </c>
      <c r="I266" s="18">
        <f>INDEX('Woolworths Products'!$F$2:$F$208,MATCH($E266,'Woolworths Products'!$A$2:$A$208,0))</f>
        <v>250</v>
      </c>
      <c r="J266" s="18">
        <f>INDEX('Woolworths Products'!$E$2:$E$208,MATCH($E266,'Woolworths Products'!$A$2:$A$208,0))</f>
        <v>199.99</v>
      </c>
      <c r="K266" s="20">
        <f>IF(COUNTIFS($A$2:A266,A266,$E$2:E266,E266)=1,ROUNDUP(SUMIFS($G:$G,$A:$A,A266,$E:$E,E266)/I266,0),0)</f>
        <v>1</v>
      </c>
      <c r="L266" s="20">
        <f>K266*J266</f>
        <v>199.99</v>
      </c>
      <c r="M266" s="20">
        <f>G266/I266*J266</f>
        <v>2.39988</v>
      </c>
      <c r="N266" s="21" t="s">
        <v>336</v>
      </c>
    </row>
    <row r="267" spans="1:14" x14ac:dyDescent="0.2">
      <c r="A267" s="13" t="s">
        <v>51</v>
      </c>
      <c r="B267" s="13" t="s">
        <v>14</v>
      </c>
      <c r="C267" s="13" t="s">
        <v>422</v>
      </c>
      <c r="D267" s="13" t="s">
        <v>349</v>
      </c>
      <c r="E267" s="13"/>
      <c r="L267" s="5">
        <v>0</v>
      </c>
      <c r="M267" s="5">
        <v>0</v>
      </c>
      <c r="N267" s="9" t="s">
        <v>422</v>
      </c>
    </row>
    <row r="268" spans="1:14" x14ac:dyDescent="0.2">
      <c r="A268" s="12" t="s">
        <v>51</v>
      </c>
      <c r="B268" s="12" t="s">
        <v>14</v>
      </c>
      <c r="C268" s="12" t="s">
        <v>758</v>
      </c>
      <c r="D268" s="12" t="s">
        <v>298</v>
      </c>
      <c r="E268" s="13" t="s">
        <v>377</v>
      </c>
      <c r="F268" s="14" t="str">
        <f>INDEX('Woolworths Products'!$B$2:$B$208,MATCH($E268,'Woolworths Products'!$A$2:$A$208,0))</f>
        <v>Fresh Peeled Garlic 50 g</v>
      </c>
      <c r="G268" s="15">
        <v>1</v>
      </c>
      <c r="H268" s="14" t="str">
        <f>INDEX('Woolworths Products'!$G$2:$G$208,MATCH($E268,'Woolworths Products'!$A$2:$A$208,0))</f>
        <v>clove</v>
      </c>
      <c r="I268" s="14">
        <f>INDEX('Woolworths Products'!$F$2:$F$208,MATCH($E268,'Woolworths Products'!$A$2:$A$208,0))</f>
        <v>10</v>
      </c>
      <c r="J268" s="14">
        <f>INDEX('Woolworths Products'!$E$2:$E$208,MATCH($E268,'Woolworths Products'!$A$2:$A$208,0))</f>
        <v>29.99</v>
      </c>
      <c r="K268" s="5">
        <f>IF(COUNTIFS($A$2:A268,A268,$E$2:E268,E268)=1,ROUNDUP(SUMIFS($G:$G,$A:$A,A268,$E:$E,E268)/I268,0),0)</f>
        <v>1</v>
      </c>
      <c r="L268" s="5">
        <f t="shared" ref="L268:L274" si="28">K268*J268</f>
        <v>29.99</v>
      </c>
      <c r="M268" s="5">
        <f t="shared" ref="M268:M274" si="29">G268/I268*J268</f>
        <v>2.9990000000000001</v>
      </c>
      <c r="N268" s="9" t="s">
        <v>378</v>
      </c>
    </row>
    <row r="269" spans="1:14" x14ac:dyDescent="0.2">
      <c r="A269" s="12" t="s">
        <v>51</v>
      </c>
      <c r="B269" s="12" t="s">
        <v>14</v>
      </c>
      <c r="C269" s="12" t="s">
        <v>759</v>
      </c>
      <c r="D269" s="12" t="s">
        <v>298</v>
      </c>
      <c r="E269" s="13" t="s">
        <v>760</v>
      </c>
      <c r="F269" s="14" t="str">
        <f>INDEX('Woolworths Products'!$B$2:$B$208,MATCH($E269,'Woolworths Products'!$A$2:$A$208,0))</f>
        <v>Diced Wood Smoked Bacon 250 g</v>
      </c>
      <c r="G269" s="15">
        <v>88</v>
      </c>
      <c r="H269" s="14" t="str">
        <f>INDEX('Woolworths Products'!$G$2:$G$208,MATCH($E269,'Woolworths Products'!$A$2:$A$208,0))</f>
        <v>g</v>
      </c>
      <c r="I269" s="14">
        <f>INDEX('Woolworths Products'!$F$2:$F$208,MATCH($E269,'Woolworths Products'!$A$2:$A$208,0))</f>
        <v>250</v>
      </c>
      <c r="J269" s="14">
        <f>INDEX('Woolworths Products'!$E$2:$E$208,MATCH($E269,'Woolworths Products'!$A$2:$A$208,0))</f>
        <v>48.99</v>
      </c>
      <c r="K269" s="5">
        <f>IF(COUNTIFS($A$2:A269,A269,$E$2:E269,E269)=1,ROUNDUP(SUMIFS($G:$G,$A:$A,A269,$E:$E,E269)/I269,0),0)</f>
        <v>1</v>
      </c>
      <c r="L269" s="5">
        <f t="shared" si="28"/>
        <v>48.99</v>
      </c>
      <c r="M269" s="5">
        <f t="shared" si="29"/>
        <v>17.244479999999999</v>
      </c>
      <c r="N269" s="9" t="s">
        <v>761</v>
      </c>
    </row>
    <row r="270" spans="1:14" x14ac:dyDescent="0.2">
      <c r="A270" s="12" t="s">
        <v>52</v>
      </c>
      <c r="B270" s="12" t="s">
        <v>14</v>
      </c>
      <c r="C270" s="12" t="s">
        <v>762</v>
      </c>
      <c r="D270" s="12" t="s">
        <v>298</v>
      </c>
      <c r="E270" s="13" t="s">
        <v>763</v>
      </c>
      <c r="F270" s="14" t="str">
        <f>INDEX('Woolworths Products'!$B$2:$B$208,MATCH($E270,'Woolworths Products'!$A$2:$A$208,0))</f>
        <v>Butternut Avg 900 g</v>
      </c>
      <c r="G270" s="15">
        <v>1</v>
      </c>
      <c r="H270" s="14" t="str">
        <f>INDEX('Woolworths Products'!$G$2:$G$208,MATCH($E270,'Woolworths Products'!$A$2:$A$208,0))</f>
        <v>ea</v>
      </c>
      <c r="I270" s="14">
        <f>INDEX('Woolworths Products'!$F$2:$F$208,MATCH($E270,'Woolworths Products'!$A$2:$A$208,0))</f>
        <v>1</v>
      </c>
      <c r="J270" s="14">
        <f>INDEX('Woolworths Products'!$E$2:$E$208,MATCH($E270,'Woolworths Products'!$A$2:$A$208,0))</f>
        <v>24.93</v>
      </c>
      <c r="K270" s="5">
        <f>IF(COUNTIFS($A$2:A270,A270,$E$2:E270,E270)=1,ROUNDUP(SUMIFS($G:$G,$A:$A,A270,$E:$E,E270)/I270,0),0)</f>
        <v>1</v>
      </c>
      <c r="L270" s="5">
        <f t="shared" si="28"/>
        <v>24.93</v>
      </c>
      <c r="M270" s="5">
        <f t="shared" si="29"/>
        <v>24.93</v>
      </c>
      <c r="N270" s="9" t="s">
        <v>432</v>
      </c>
    </row>
    <row r="271" spans="1:14" ht="28" x14ac:dyDescent="0.2">
      <c r="A271" s="16" t="s">
        <v>52</v>
      </c>
      <c r="B271" s="16" t="s">
        <v>14</v>
      </c>
      <c r="C271" s="16" t="s">
        <v>764</v>
      </c>
      <c r="D271" s="16" t="s">
        <v>396</v>
      </c>
      <c r="E271" s="17" t="s">
        <v>765</v>
      </c>
      <c r="F271" s="18" t="str">
        <f>INDEX('Woolworths Products'!$B$2:$B$208,MATCH($E271,'Woolworths Products'!$A$2:$A$208,0))</f>
        <v>Chopped Spinach 200 g</v>
      </c>
      <c r="G271" s="19">
        <v>200</v>
      </c>
      <c r="H271" s="18" t="str">
        <f>INDEX('Woolworths Products'!$G$2:$G$208,MATCH($E271,'Woolworths Products'!$A$2:$A$208,0))</f>
        <v>g</v>
      </c>
      <c r="I271" s="18">
        <f>INDEX('Woolworths Products'!$F$2:$F$208,MATCH($E271,'Woolworths Products'!$A$2:$A$208,0))</f>
        <v>200</v>
      </c>
      <c r="J271" s="18">
        <f>INDEX('Woolworths Products'!$E$2:$E$208,MATCH($E271,'Woolworths Products'!$A$2:$A$208,0))</f>
        <v>32.99</v>
      </c>
      <c r="K271" s="20">
        <f>IF(COUNTIFS($A$2:A271,A271,$E$2:E271,E271)=1,ROUNDUP(SUMIFS($G:$G,$A:$A,A271,$E:$E,E271)/I271,0),0)</f>
        <v>1</v>
      </c>
      <c r="L271" s="20">
        <f t="shared" si="28"/>
        <v>32.99</v>
      </c>
      <c r="M271" s="20">
        <f t="shared" si="29"/>
        <v>32.99</v>
      </c>
      <c r="N271" s="21" t="s">
        <v>766</v>
      </c>
    </row>
    <row r="272" spans="1:14" x14ac:dyDescent="0.2">
      <c r="A272" s="12" t="s">
        <v>52</v>
      </c>
      <c r="B272" s="12" t="s">
        <v>14</v>
      </c>
      <c r="C272" s="12" t="s">
        <v>767</v>
      </c>
      <c r="D272" s="12" t="s">
        <v>298</v>
      </c>
      <c r="E272" s="13" t="s">
        <v>318</v>
      </c>
      <c r="F272" s="14" t="str">
        <f>INDEX('Woolworths Products'!$B$2:$B$208,MATCH($E272,'Woolworths Products'!$A$2:$A$208,0))</f>
        <v>Plain South African Feta Cheese 100 g</v>
      </c>
      <c r="G272" s="15">
        <v>100</v>
      </c>
      <c r="H272" s="14" t="str">
        <f>INDEX('Woolworths Products'!$G$2:$G$208,MATCH($E272,'Woolworths Products'!$A$2:$A$208,0))</f>
        <v>g</v>
      </c>
      <c r="I272" s="14">
        <f>INDEX('Woolworths Products'!$F$2:$F$208,MATCH($E272,'Woolworths Products'!$A$2:$A$208,0))</f>
        <v>100</v>
      </c>
      <c r="J272" s="14">
        <f>INDEX('Woolworths Products'!$E$2:$E$208,MATCH($E272,'Woolworths Products'!$A$2:$A$208,0))</f>
        <v>24.99</v>
      </c>
      <c r="K272" s="5">
        <f>IF(COUNTIFS($A$2:A272,A272,$E$2:E272,E272)=1,ROUNDUP(SUMIFS($G:$G,$A:$A,A272,$E:$E,E272)/I272,0),0)</f>
        <v>1</v>
      </c>
      <c r="L272" s="5">
        <f t="shared" si="28"/>
        <v>24.99</v>
      </c>
      <c r="M272" s="5">
        <f t="shared" si="29"/>
        <v>24.99</v>
      </c>
      <c r="N272" s="9" t="s">
        <v>341</v>
      </c>
    </row>
    <row r="273" spans="1:14" x14ac:dyDescent="0.2">
      <c r="A273" s="16" t="s">
        <v>52</v>
      </c>
      <c r="B273" s="16" t="s">
        <v>14</v>
      </c>
      <c r="C273" s="16" t="s">
        <v>491</v>
      </c>
      <c r="D273" s="16" t="s">
        <v>298</v>
      </c>
      <c r="E273" s="17" t="s">
        <v>492</v>
      </c>
      <c r="F273" s="18" t="str">
        <f>INDEX('Woolworths Products'!$B$2:$B$208,MATCH($E273,'Woolworths Products'!$A$2:$A$208,0))</f>
        <v>South African Grated Medium Fat Hard Cheese 60 g</v>
      </c>
      <c r="G273" s="19">
        <v>20</v>
      </c>
      <c r="H273" s="18" t="str">
        <f>INDEX('Woolworths Products'!$G$2:$G$208,MATCH($E273,'Woolworths Products'!$A$2:$A$208,0))</f>
        <v>g</v>
      </c>
      <c r="I273" s="18">
        <f>INDEX('Woolworths Products'!$F$2:$F$208,MATCH($E273,'Woolworths Products'!$A$2:$A$208,0))</f>
        <v>60</v>
      </c>
      <c r="J273" s="18">
        <f>INDEX('Woolworths Products'!$E$2:$E$208,MATCH($E273,'Woolworths Products'!$A$2:$A$208,0))</f>
        <v>49.99</v>
      </c>
      <c r="K273" s="20">
        <f>IF(COUNTIFS($A$2:A273,A273,$E$2:E273,E273)=1,ROUNDUP(SUMIFS($G:$G,$A:$A,A273,$E:$E,E273)/I273,0),0)</f>
        <v>1</v>
      </c>
      <c r="L273" s="20">
        <f t="shared" si="28"/>
        <v>49.99</v>
      </c>
      <c r="M273" s="20">
        <f t="shared" si="29"/>
        <v>16.663333333333334</v>
      </c>
      <c r="N273" s="21" t="s">
        <v>493</v>
      </c>
    </row>
    <row r="274" spans="1:14" x14ac:dyDescent="0.2">
      <c r="A274" s="16" t="s">
        <v>52</v>
      </c>
      <c r="B274" s="16" t="s">
        <v>14</v>
      </c>
      <c r="C274" s="16" t="s">
        <v>494</v>
      </c>
      <c r="D274" s="16" t="s">
        <v>298</v>
      </c>
      <c r="E274" s="17" t="s">
        <v>495</v>
      </c>
      <c r="F274" s="18" t="str">
        <f>INDEX('Woolworths Products'!$B$2:$B$208,MATCH($E274,'Woolworths Products'!$A$2:$A$208,0))</f>
        <v>Fresh Thyme 20 g</v>
      </c>
      <c r="G274" s="19">
        <v>0.25</v>
      </c>
      <c r="H274" s="18" t="str">
        <f>INDEX('Woolworths Products'!$G$2:$G$208,MATCH($E274,'Woolworths Products'!$A$2:$A$208,0))</f>
        <v>punnet</v>
      </c>
      <c r="I274" s="18">
        <f>INDEX('Woolworths Products'!$F$2:$F$208,MATCH($E274,'Woolworths Products'!$A$2:$A$208,0))</f>
        <v>1</v>
      </c>
      <c r="J274" s="18">
        <f>INDEX('Woolworths Products'!$E$2:$E$208,MATCH($E274,'Woolworths Products'!$A$2:$A$208,0))</f>
        <v>15.99</v>
      </c>
      <c r="K274" s="20">
        <f>IF(COUNTIFS($A$2:A274,A274,$E$2:E274,E274)=1,ROUNDUP(SUMIFS($G:$G,$A:$A,A274,$E:$E,E274)/I274,0),0)</f>
        <v>1</v>
      </c>
      <c r="L274" s="20">
        <f t="shared" si="28"/>
        <v>15.99</v>
      </c>
      <c r="M274" s="20">
        <f t="shared" si="29"/>
        <v>3.9975000000000001</v>
      </c>
      <c r="N274" s="21" t="s">
        <v>410</v>
      </c>
    </row>
    <row r="275" spans="1:14" x14ac:dyDescent="0.2">
      <c r="A275" s="13" t="s">
        <v>52</v>
      </c>
      <c r="B275" s="13" t="s">
        <v>14</v>
      </c>
      <c r="C275" s="13" t="s">
        <v>393</v>
      </c>
      <c r="D275" s="13" t="s">
        <v>349</v>
      </c>
      <c r="E275" s="13"/>
      <c r="L275" s="5">
        <v>0</v>
      </c>
      <c r="M275" s="5">
        <v>0</v>
      </c>
      <c r="N275" s="9" t="s">
        <v>393</v>
      </c>
    </row>
    <row r="276" spans="1:14" x14ac:dyDescent="0.2">
      <c r="A276" s="12" t="s">
        <v>53</v>
      </c>
      <c r="B276" s="12" t="s">
        <v>54</v>
      </c>
      <c r="C276" s="12" t="s">
        <v>768</v>
      </c>
      <c r="D276" s="12" t="s">
        <v>298</v>
      </c>
      <c r="E276" s="13" t="s">
        <v>769</v>
      </c>
      <c r="F276" s="14" t="str">
        <f>INDEX('Woolworths Products'!$B$2:$B$208,MATCH($E276,'Woolworths Products'!$A$2:$A$208,0))</f>
        <v>Chicken Mini Breast Fillets Avg 450 g</v>
      </c>
      <c r="G276" s="15">
        <v>150</v>
      </c>
      <c r="H276" s="14" t="str">
        <f>INDEX('Woolworths Products'!$G$2:$G$208,MATCH($E276,'Woolworths Products'!$A$2:$A$208,0))</f>
        <v>g</v>
      </c>
      <c r="I276" s="14">
        <f>INDEX('Woolworths Products'!$F$2:$F$208,MATCH($E276,'Woolworths Products'!$A$2:$A$208,0))</f>
        <v>450</v>
      </c>
      <c r="J276" s="14">
        <f>INDEX('Woolworths Products'!$E$2:$E$208,MATCH($E276,'Woolworths Products'!$A$2:$A$208,0))</f>
        <v>69.75</v>
      </c>
      <c r="K276" s="5">
        <f>IF(COUNTIFS($A$2:A276,A276,$E$2:E276,E276)=1,ROUNDUP(SUMIFS($G:$G,$A:$A,A276,$E:$E,E276)/I276,0),0)</f>
        <v>1</v>
      </c>
      <c r="L276" s="5">
        <f t="shared" ref="L276:L283" si="30">K276*J276</f>
        <v>69.75</v>
      </c>
      <c r="M276" s="5">
        <f t="shared" ref="M276:M283" si="31">G276/I276*J276</f>
        <v>23.25</v>
      </c>
      <c r="N276" s="9" t="s">
        <v>770</v>
      </c>
    </row>
    <row r="277" spans="1:14" x14ac:dyDescent="0.2">
      <c r="A277" s="16" t="s">
        <v>53</v>
      </c>
      <c r="B277" s="16" t="s">
        <v>54</v>
      </c>
      <c r="C277" s="16" t="s">
        <v>771</v>
      </c>
      <c r="D277" s="16" t="s">
        <v>298</v>
      </c>
      <c r="E277" s="17" t="s">
        <v>343</v>
      </c>
      <c r="F277" s="18" t="str">
        <f>INDEX('Woolworths Products'!$B$2:$B$208,MATCH($E277,'Woolworths Products'!$A$2:$A$208,0))</f>
        <v>Brown Onions 1 kg</v>
      </c>
      <c r="G277" s="19">
        <v>300</v>
      </c>
      <c r="H277" s="18" t="str">
        <f>INDEX('Woolworths Products'!$G$2:$G$208,MATCH($E277,'Woolworths Products'!$A$2:$A$208,0))</f>
        <v>g</v>
      </c>
      <c r="I277" s="18">
        <f>INDEX('Woolworths Products'!$F$2:$F$208,MATCH($E277,'Woolworths Products'!$A$2:$A$208,0))</f>
        <v>1000</v>
      </c>
      <c r="J277" s="18">
        <f>INDEX('Woolworths Products'!$E$2:$E$208,MATCH($E277,'Woolworths Products'!$A$2:$A$208,0))</f>
        <v>39.9</v>
      </c>
      <c r="K277" s="20">
        <f>IF(COUNTIFS($A$2:A277,A277,$E$2:E277,E277)=1,ROUNDUP(SUMIFS($G:$G,$A:$A,A277,$E:$E,E277)/I277,0),0)</f>
        <v>1</v>
      </c>
      <c r="L277" s="20">
        <f t="shared" si="30"/>
        <v>39.9</v>
      </c>
      <c r="M277" s="20">
        <f t="shared" si="31"/>
        <v>11.969999999999999</v>
      </c>
      <c r="N277" s="21" t="s">
        <v>772</v>
      </c>
    </row>
    <row r="278" spans="1:14" x14ac:dyDescent="0.2">
      <c r="A278" s="16" t="s">
        <v>53</v>
      </c>
      <c r="B278" s="16" t="s">
        <v>54</v>
      </c>
      <c r="C278" s="16" t="s">
        <v>773</v>
      </c>
      <c r="D278" s="16" t="s">
        <v>298</v>
      </c>
      <c r="E278" s="17" t="s">
        <v>304</v>
      </c>
      <c r="F278" s="18" t="str">
        <f>INDEX('Woolworths Products'!$B$2:$B$208,MATCH($E278,'Woolworths Products'!$A$2:$A$208,0))</f>
        <v>Medium Carrots 500 g</v>
      </c>
      <c r="G278" s="19">
        <v>160</v>
      </c>
      <c r="H278" s="18" t="str">
        <f>INDEX('Woolworths Products'!$G$2:$G$208,MATCH($E278,'Woolworths Products'!$A$2:$A$208,0))</f>
        <v>g</v>
      </c>
      <c r="I278" s="18">
        <f>INDEX('Woolworths Products'!$F$2:$F$208,MATCH($E278,'Woolworths Products'!$A$2:$A$208,0))</f>
        <v>500</v>
      </c>
      <c r="J278" s="18">
        <f>INDEX('Woolworths Products'!$E$2:$E$208,MATCH($E278,'Woolworths Products'!$A$2:$A$208,0))</f>
        <v>14.99</v>
      </c>
      <c r="K278" s="20">
        <f>IF(COUNTIFS($A$2:A278,A278,$E$2:E278,E278)=1,ROUNDUP(SUMIFS($G:$G,$A:$A,A278,$E:$E,E278)/I278,0),0)</f>
        <v>1</v>
      </c>
      <c r="L278" s="20">
        <f t="shared" si="30"/>
        <v>14.99</v>
      </c>
      <c r="M278" s="20">
        <f t="shared" si="31"/>
        <v>4.7968000000000002</v>
      </c>
      <c r="N278" s="21" t="s">
        <v>774</v>
      </c>
    </row>
    <row r="279" spans="1:14" x14ac:dyDescent="0.2">
      <c r="A279" s="16" t="s">
        <v>53</v>
      </c>
      <c r="B279" s="16" t="s">
        <v>54</v>
      </c>
      <c r="C279" s="16" t="s">
        <v>775</v>
      </c>
      <c r="D279" s="16" t="s">
        <v>298</v>
      </c>
      <c r="E279" s="17" t="s">
        <v>301</v>
      </c>
      <c r="F279" s="18" t="str">
        <f>INDEX('Woolworths Products'!$B$2:$B$208,MATCH($E279,'Woolworths Products'!$A$2:$A$208,0))</f>
        <v>Baby Marrows 350 g</v>
      </c>
      <c r="G279" s="19">
        <v>140</v>
      </c>
      <c r="H279" s="18" t="str">
        <f>INDEX('Woolworths Products'!$G$2:$G$208,MATCH($E279,'Woolworths Products'!$A$2:$A$208,0))</f>
        <v>g</v>
      </c>
      <c r="I279" s="18">
        <f>INDEX('Woolworths Products'!$F$2:$F$208,MATCH($E279,'Woolworths Products'!$A$2:$A$208,0))</f>
        <v>350</v>
      </c>
      <c r="J279" s="18">
        <f>INDEX('Woolworths Products'!$E$2:$E$208,MATCH($E279,'Woolworths Products'!$A$2:$A$208,0))</f>
        <v>32.99</v>
      </c>
      <c r="K279" s="20">
        <f>IF(COUNTIFS($A$2:A279,A279,$E$2:E279,E279)=1,ROUNDUP(SUMIFS($G:$G,$A:$A,A279,$E:$E,E279)/I279,0),0)</f>
        <v>1</v>
      </c>
      <c r="L279" s="20">
        <f t="shared" si="30"/>
        <v>32.99</v>
      </c>
      <c r="M279" s="20">
        <f t="shared" si="31"/>
        <v>13.196000000000002</v>
      </c>
      <c r="N279" s="21" t="s">
        <v>776</v>
      </c>
    </row>
    <row r="280" spans="1:14" x14ac:dyDescent="0.2">
      <c r="A280" s="16" t="s">
        <v>53</v>
      </c>
      <c r="B280" s="16" t="s">
        <v>54</v>
      </c>
      <c r="C280" s="16" t="s">
        <v>777</v>
      </c>
      <c r="D280" s="16" t="s">
        <v>298</v>
      </c>
      <c r="E280" s="17" t="s">
        <v>604</v>
      </c>
      <c r="F280" s="18" t="str">
        <f>INDEX('Woolworths Products'!$B$2:$B$208,MATCH($E280,'Woolworths Products'!$A$2:$A$208,0))</f>
        <v>Sweetcorn 2 pk</v>
      </c>
      <c r="G280" s="19">
        <v>1</v>
      </c>
      <c r="H280" s="18" t="str">
        <f>INDEX('Woolworths Products'!$G$2:$G$208,MATCH($E280,'Woolworths Products'!$A$2:$A$208,0))</f>
        <v>ea</v>
      </c>
      <c r="I280" s="18">
        <f>INDEX('Woolworths Products'!$F$2:$F$208,MATCH($E280,'Woolworths Products'!$A$2:$A$208,0))</f>
        <v>2</v>
      </c>
      <c r="J280" s="18">
        <f>INDEX('Woolworths Products'!$E$2:$E$208,MATCH($E280,'Woolworths Products'!$A$2:$A$208,0))</f>
        <v>25.99</v>
      </c>
      <c r="K280" s="20">
        <f>IF(COUNTIFS($A$2:A280,A280,$E$2:E280,E280)=1,ROUNDUP(SUMIFS($G:$G,$A:$A,A280,$E:$E,E280)/I280,0),0)</f>
        <v>1</v>
      </c>
      <c r="L280" s="20">
        <f t="shared" si="30"/>
        <v>25.99</v>
      </c>
      <c r="M280" s="20">
        <f t="shared" si="31"/>
        <v>12.994999999999999</v>
      </c>
      <c r="N280" s="21" t="s">
        <v>778</v>
      </c>
    </row>
    <row r="281" spans="1:14" x14ac:dyDescent="0.2">
      <c r="A281" s="16" t="s">
        <v>53</v>
      </c>
      <c r="B281" s="16" t="s">
        <v>54</v>
      </c>
      <c r="C281" s="16" t="s">
        <v>779</v>
      </c>
      <c r="D281" s="16" t="s">
        <v>298</v>
      </c>
      <c r="E281" s="17" t="s">
        <v>489</v>
      </c>
      <c r="F281" s="18" t="str">
        <f>INDEX('Woolworths Products'!$B$2:$B$208,MATCH($E281,'Woolworths Products'!$A$2:$A$208,0))</f>
        <v>Large Potatoes 2 kg</v>
      </c>
      <c r="G281" s="19">
        <v>400</v>
      </c>
      <c r="H281" s="18" t="str">
        <f>INDEX('Woolworths Products'!$G$2:$G$208,MATCH($E281,'Woolworths Products'!$A$2:$A$208,0))</f>
        <v>g</v>
      </c>
      <c r="I281" s="18">
        <f>INDEX('Woolworths Products'!$F$2:$F$208,MATCH($E281,'Woolworths Products'!$A$2:$A$208,0))</f>
        <v>2000</v>
      </c>
      <c r="J281" s="18">
        <f>INDEX('Woolworths Products'!$E$2:$E$208,MATCH($E281,'Woolworths Products'!$A$2:$A$208,0))</f>
        <v>48.99</v>
      </c>
      <c r="K281" s="20">
        <f>IF(COUNTIFS($A$2:A281,A281,$E$2:E281,E281)=1,ROUNDUP(SUMIFS($G:$G,$A:$A,A281,$E:$E,E281)/I281,0),0)</f>
        <v>1</v>
      </c>
      <c r="L281" s="20">
        <f t="shared" si="30"/>
        <v>48.99</v>
      </c>
      <c r="M281" s="20">
        <f t="shared" si="31"/>
        <v>9.7980000000000018</v>
      </c>
      <c r="N281" s="21" t="s">
        <v>780</v>
      </c>
    </row>
    <row r="282" spans="1:14" x14ac:dyDescent="0.2">
      <c r="A282" s="16" t="s">
        <v>53</v>
      </c>
      <c r="B282" s="16" t="s">
        <v>54</v>
      </c>
      <c r="C282" s="16" t="s">
        <v>781</v>
      </c>
      <c r="D282" s="16" t="s">
        <v>396</v>
      </c>
      <c r="E282" s="17" t="s">
        <v>608</v>
      </c>
      <c r="F282" s="18" t="str">
        <f>INDEX('Woolworths Products'!$B$2:$B$208,MATCH($E282,'Woolworths Products'!$A$2:$A$208,0))</f>
        <v>Chicken A La King Cook In Sauce 37 g</v>
      </c>
      <c r="G282" s="19">
        <v>1</v>
      </c>
      <c r="H282" s="18" t="str">
        <f>INDEX('Woolworths Products'!$G$2:$G$208,MATCH($E282,'Woolworths Products'!$A$2:$A$208,0))</f>
        <v>ea</v>
      </c>
      <c r="I282" s="18">
        <f>INDEX('Woolworths Products'!$F$2:$F$208,MATCH($E282,'Woolworths Products'!$A$2:$A$208,0))</f>
        <v>1</v>
      </c>
      <c r="J282" s="18">
        <f>INDEX('Woolworths Products'!$E$2:$E$208,MATCH($E282,'Woolworths Products'!$A$2:$A$208,0))</f>
        <v>19.989999999999998</v>
      </c>
      <c r="K282" s="20">
        <f>IF(COUNTIFS($A$2:A282,A282,$E$2:E282,E282)=1,ROUNDUP(SUMIFS($G:$G,$A:$A,A282,$E:$E,E282)/I282,0),0)</f>
        <v>1</v>
      </c>
      <c r="L282" s="20">
        <f t="shared" si="30"/>
        <v>19.989999999999998</v>
      </c>
      <c r="M282" s="20">
        <f t="shared" si="31"/>
        <v>19.989999999999998</v>
      </c>
      <c r="N282" s="21" t="s">
        <v>609</v>
      </c>
    </row>
    <row r="283" spans="1:14" x14ac:dyDescent="0.2">
      <c r="A283" s="12" t="s">
        <v>53</v>
      </c>
      <c r="B283" s="12" t="s">
        <v>54</v>
      </c>
      <c r="C283" s="12" t="s">
        <v>782</v>
      </c>
      <c r="D283" s="12" t="s">
        <v>298</v>
      </c>
      <c r="E283" s="13" t="s">
        <v>388</v>
      </c>
      <c r="F283" s="14" t="str">
        <f>INDEX('Woolworths Products'!$B$2:$B$208,MATCH($E283,'Woolworths Products'!$A$2:$A$208,0))</f>
        <v>Long Life Full Cream Milk 1 L</v>
      </c>
      <c r="G283" s="15">
        <v>250</v>
      </c>
      <c r="H283" s="14" t="str">
        <f>INDEX('Woolworths Products'!$G$2:$G$208,MATCH($E283,'Woolworths Products'!$A$2:$A$208,0))</f>
        <v>ml</v>
      </c>
      <c r="I283" s="14">
        <f>INDEX('Woolworths Products'!$F$2:$F$208,MATCH($E283,'Woolworths Products'!$A$2:$A$208,0))</f>
        <v>1000</v>
      </c>
      <c r="J283" s="14">
        <f>INDEX('Woolworths Products'!$E$2:$E$208,MATCH($E283,'Woolworths Products'!$A$2:$A$208,0))</f>
        <v>22.99</v>
      </c>
      <c r="K283" s="5">
        <f>IF(COUNTIFS($A$2:A283,A283,$E$2:E283,E283)=1,ROUNDUP(SUMIFS($G:$G,$A:$A,A283,$E:$E,E283)/I283,0),0)</f>
        <v>1</v>
      </c>
      <c r="L283" s="5">
        <f t="shared" si="30"/>
        <v>22.99</v>
      </c>
      <c r="M283" s="5">
        <f t="shared" si="31"/>
        <v>5.7474999999999996</v>
      </c>
      <c r="N283" s="9"/>
    </row>
    <row r="284" spans="1:14" x14ac:dyDescent="0.2">
      <c r="A284" s="13" t="s">
        <v>53</v>
      </c>
      <c r="B284" s="13" t="s">
        <v>54</v>
      </c>
      <c r="C284" s="13" t="s">
        <v>783</v>
      </c>
      <c r="D284" s="13" t="s">
        <v>349</v>
      </c>
      <c r="E284" s="13"/>
      <c r="L284" s="5">
        <v>0</v>
      </c>
      <c r="M284" s="5">
        <v>0</v>
      </c>
      <c r="N284" s="9" t="s">
        <v>783</v>
      </c>
    </row>
    <row r="285" spans="1:14" x14ac:dyDescent="0.2">
      <c r="A285" s="12" t="s">
        <v>53</v>
      </c>
      <c r="B285" s="12" t="s">
        <v>54</v>
      </c>
      <c r="C285" s="12" t="s">
        <v>345</v>
      </c>
      <c r="D285" s="12" t="s">
        <v>298</v>
      </c>
      <c r="E285" s="13" t="s">
        <v>323</v>
      </c>
      <c r="F285" s="14" t="str">
        <f>INDEX('Woolworths Products'!$B$2:$B$208,MATCH($E285,'Woolworths Products'!$A$2:$A$208,0))</f>
        <v>Lemons 3 pk</v>
      </c>
      <c r="G285" s="15">
        <v>1</v>
      </c>
      <c r="H285" s="14" t="str">
        <f>INDEX('Woolworths Products'!$G$2:$G$208,MATCH($E285,'Woolworths Products'!$A$2:$A$208,0))</f>
        <v>ea</v>
      </c>
      <c r="I285" s="14">
        <f>INDEX('Woolworths Products'!$F$2:$F$208,MATCH($E285,'Woolworths Products'!$A$2:$A$208,0))</f>
        <v>3</v>
      </c>
      <c r="J285" s="14">
        <f>INDEX('Woolworths Products'!$E$2:$E$208,MATCH($E285,'Woolworths Products'!$A$2:$A$208,0))</f>
        <v>27.99</v>
      </c>
      <c r="K285" s="5">
        <f>IF(COUNTIFS($A$2:A285,A285,$E$2:E285,E285)=1,ROUNDUP(SUMIFS($G:$G,$A:$A,A285,$E:$E,E285)/I285,0),0)</f>
        <v>1</v>
      </c>
      <c r="L285" s="5">
        <f t="shared" ref="L285:L290" si="32">K285*J285</f>
        <v>27.99</v>
      </c>
      <c r="M285" s="5">
        <f t="shared" ref="M285:M290" si="33">G285/I285*J285</f>
        <v>9.3299999999999983</v>
      </c>
      <c r="N285" s="9"/>
    </row>
    <row r="286" spans="1:14" x14ac:dyDescent="0.2">
      <c r="A286" s="12" t="s">
        <v>55</v>
      </c>
      <c r="B286" s="12" t="s">
        <v>48</v>
      </c>
      <c r="C286" s="12" t="s">
        <v>784</v>
      </c>
      <c r="D286" s="12" t="s">
        <v>298</v>
      </c>
      <c r="E286" s="13" t="s">
        <v>785</v>
      </c>
      <c r="F286" s="14" t="str">
        <f>INDEX('Woolworths Products'!$B$2:$B$208,MATCH($E286,'Woolworths Products'!$A$2:$A$208,0))</f>
        <v>Jungle Oats 1 kg</v>
      </c>
      <c r="G286" s="15">
        <v>90</v>
      </c>
      <c r="H286" s="14" t="str">
        <f>INDEX('Woolworths Products'!$G$2:$G$208,MATCH($E286,'Woolworths Products'!$A$2:$A$208,0))</f>
        <v>g</v>
      </c>
      <c r="I286" s="14">
        <f>INDEX('Woolworths Products'!$F$2:$F$208,MATCH($E286,'Woolworths Products'!$A$2:$A$208,0))</f>
        <v>1000</v>
      </c>
      <c r="J286" s="14">
        <f>INDEX('Woolworths Products'!$E$2:$E$208,MATCH($E286,'Woolworths Products'!$A$2:$A$208,0))</f>
        <v>39.99</v>
      </c>
      <c r="K286" s="5">
        <f>IF(COUNTIFS($A$2:A286,A286,$E$2:E286,E286)=1,ROUNDUP(SUMIFS($G:$G,$A:$A,A286,$E:$E,E286)/I286,0),0)</f>
        <v>1</v>
      </c>
      <c r="L286" s="5">
        <f t="shared" si="32"/>
        <v>39.99</v>
      </c>
      <c r="M286" s="5">
        <f t="shared" si="33"/>
        <v>3.5991</v>
      </c>
      <c r="N286" s="9" t="s">
        <v>786</v>
      </c>
    </row>
    <row r="287" spans="1:14" x14ac:dyDescent="0.2">
      <c r="A287" s="12" t="s">
        <v>55</v>
      </c>
      <c r="B287" s="12" t="s">
        <v>48</v>
      </c>
      <c r="C287" s="12" t="s">
        <v>787</v>
      </c>
      <c r="D287" s="12" t="s">
        <v>298</v>
      </c>
      <c r="E287" s="13" t="s">
        <v>589</v>
      </c>
      <c r="F287" s="14" t="str">
        <f>INDEX('Woolworths Products'!$B$2:$B$208,MATCH($E287,'Woolworths Products'!$A$2:$A$208,0))</f>
        <v>Raw Flaked Almonds 100 g</v>
      </c>
      <c r="G287" s="15">
        <v>40</v>
      </c>
      <c r="H287" s="14" t="str">
        <f>INDEX('Woolworths Products'!$G$2:$G$208,MATCH($E287,'Woolworths Products'!$A$2:$A$208,0))</f>
        <v>g</v>
      </c>
      <c r="I287" s="14">
        <f>INDEX('Woolworths Products'!$F$2:$F$208,MATCH($E287,'Woolworths Products'!$A$2:$A$208,0))</f>
        <v>100</v>
      </c>
      <c r="J287" s="14">
        <f>INDEX('Woolworths Products'!$E$2:$E$208,MATCH($E287,'Woolworths Products'!$A$2:$A$208,0))</f>
        <v>64.989999999999995</v>
      </c>
      <c r="K287" s="5">
        <f>IF(COUNTIFS($A$2:A287,A287,$E$2:E287,E287)=1,ROUNDUP(SUMIFS($G:$G,$A:$A,A287,$E:$E,E287)/I287,0),0)</f>
        <v>1</v>
      </c>
      <c r="L287" s="5">
        <f t="shared" si="32"/>
        <v>64.989999999999995</v>
      </c>
      <c r="M287" s="5">
        <f t="shared" si="33"/>
        <v>25.995999999999999</v>
      </c>
      <c r="N287" s="9"/>
    </row>
    <row r="288" spans="1:14" x14ac:dyDescent="0.2">
      <c r="A288" s="12" t="s">
        <v>55</v>
      </c>
      <c r="B288" s="12" t="s">
        <v>48</v>
      </c>
      <c r="C288" s="12" t="s">
        <v>788</v>
      </c>
      <c r="D288" s="12" t="s">
        <v>298</v>
      </c>
      <c r="E288" s="13" t="s">
        <v>359</v>
      </c>
      <c r="F288" s="14" t="str">
        <f>INDEX('Woolworths Products'!$B$2:$B$208,MATCH($E288,'Woolworths Products'!$A$2:$A$208,0))</f>
        <v>Baking Powder 100 g</v>
      </c>
      <c r="G288" s="15">
        <v>4</v>
      </c>
      <c r="H288" s="14" t="str">
        <f>INDEX('Woolworths Products'!$G$2:$G$208,MATCH($E288,'Woolworths Products'!$A$2:$A$208,0))</f>
        <v>g</v>
      </c>
      <c r="I288" s="14">
        <f>INDEX('Woolworths Products'!$F$2:$F$208,MATCH($E288,'Woolworths Products'!$A$2:$A$208,0))</f>
        <v>100</v>
      </c>
      <c r="J288" s="14">
        <f>INDEX('Woolworths Products'!$E$2:$E$208,MATCH($E288,'Woolworths Products'!$A$2:$A$208,0))</f>
        <v>34.99</v>
      </c>
      <c r="K288" s="5">
        <f>IF(COUNTIFS($A$2:A288,A288,$E$2:E288,E288)=1,ROUNDUP(SUMIFS($G:$G,$A:$A,A288,$E:$E,E288)/I288,0),0)</f>
        <v>1</v>
      </c>
      <c r="L288" s="5">
        <f t="shared" si="32"/>
        <v>34.99</v>
      </c>
      <c r="M288" s="5">
        <f t="shared" si="33"/>
        <v>1.3996000000000002</v>
      </c>
      <c r="N288" s="9"/>
    </row>
    <row r="289" spans="1:14" x14ac:dyDescent="0.2">
      <c r="A289" s="12" t="s">
        <v>55</v>
      </c>
      <c r="B289" s="12" t="s">
        <v>48</v>
      </c>
      <c r="C289" s="12" t="s">
        <v>789</v>
      </c>
      <c r="D289" s="12" t="s">
        <v>298</v>
      </c>
      <c r="E289" s="13" t="s">
        <v>367</v>
      </c>
      <c r="F289" s="14" t="str">
        <f>INDEX('Woolworths Products'!$B$2:$B$208,MATCH($E289,'Woolworths Products'!$A$2:$A$208,0))</f>
        <v>Finely Ground Cinnamon Refill 30 g</v>
      </c>
      <c r="G289" s="15">
        <v>6</v>
      </c>
      <c r="H289" s="14" t="str">
        <f>INDEX('Woolworths Products'!$G$2:$G$208,MATCH($E289,'Woolworths Products'!$A$2:$A$208,0))</f>
        <v>g</v>
      </c>
      <c r="I289" s="14">
        <f>INDEX('Woolworths Products'!$F$2:$F$208,MATCH($E289,'Woolworths Products'!$A$2:$A$208,0))</f>
        <v>30</v>
      </c>
      <c r="J289" s="14">
        <f>INDEX('Woolworths Products'!$E$2:$E$208,MATCH($E289,'Woolworths Products'!$A$2:$A$208,0))</f>
        <v>29.99</v>
      </c>
      <c r="K289" s="5">
        <f>IF(COUNTIFS($A$2:A289,A289,$E$2:E289,E289)=1,ROUNDUP(SUMIFS($G:$G,$A:$A,A289,$E:$E,E289)/I289,0),0)</f>
        <v>1</v>
      </c>
      <c r="L289" s="5">
        <f t="shared" si="32"/>
        <v>29.99</v>
      </c>
      <c r="M289" s="5">
        <f t="shared" si="33"/>
        <v>5.9980000000000002</v>
      </c>
      <c r="N289" s="9"/>
    </row>
    <row r="290" spans="1:14" x14ac:dyDescent="0.2">
      <c r="A290" s="12" t="s">
        <v>55</v>
      </c>
      <c r="B290" s="12" t="s">
        <v>48</v>
      </c>
      <c r="C290" s="12" t="s">
        <v>790</v>
      </c>
      <c r="D290" s="12" t="s">
        <v>298</v>
      </c>
      <c r="E290" s="13" t="s">
        <v>791</v>
      </c>
      <c r="F290" s="14" t="str">
        <f>INDEX('Woolworths Products'!$B$2:$B$208,MATCH($E290,'Woolworths Products'!$A$2:$A$208,0))</f>
        <v>Ground Allspice 55 g</v>
      </c>
      <c r="G290" s="15">
        <v>2.5</v>
      </c>
      <c r="H290" s="14" t="str">
        <f>INDEX('Woolworths Products'!$G$2:$G$208,MATCH($E290,'Woolworths Products'!$A$2:$A$208,0))</f>
        <v>g</v>
      </c>
      <c r="I290" s="14">
        <f>INDEX('Woolworths Products'!$F$2:$F$208,MATCH($E290,'Woolworths Products'!$A$2:$A$208,0))</f>
        <v>55</v>
      </c>
      <c r="J290" s="14">
        <f>INDEX('Woolworths Products'!$E$2:$E$208,MATCH($E290,'Woolworths Products'!$A$2:$A$208,0))</f>
        <v>59.99</v>
      </c>
      <c r="K290" s="5">
        <f>IF(COUNTIFS($A$2:A290,A290,$E$2:E290,E290)=1,ROUNDUP(SUMIFS($G:$G,$A:$A,A290,$E:$E,E290)/I290,0),0)</f>
        <v>1</v>
      </c>
      <c r="L290" s="5">
        <f t="shared" si="32"/>
        <v>59.99</v>
      </c>
      <c r="M290" s="5">
        <f t="shared" si="33"/>
        <v>2.726818181818182</v>
      </c>
      <c r="N290" s="9"/>
    </row>
    <row r="291" spans="1:14" x14ac:dyDescent="0.2">
      <c r="A291" s="13" t="s">
        <v>55</v>
      </c>
      <c r="B291" s="13" t="s">
        <v>48</v>
      </c>
      <c r="C291" s="13" t="s">
        <v>487</v>
      </c>
      <c r="D291" s="13" t="s">
        <v>349</v>
      </c>
      <c r="E291" s="13"/>
      <c r="L291" s="5">
        <v>0</v>
      </c>
      <c r="M291" s="5">
        <v>0</v>
      </c>
      <c r="N291" s="9" t="s">
        <v>348</v>
      </c>
    </row>
    <row r="292" spans="1:14" x14ac:dyDescent="0.2">
      <c r="A292" s="12" t="s">
        <v>55</v>
      </c>
      <c r="B292" s="12" t="s">
        <v>48</v>
      </c>
      <c r="C292" s="12" t="s">
        <v>792</v>
      </c>
      <c r="D292" s="12" t="s">
        <v>298</v>
      </c>
      <c r="E292" s="13" t="s">
        <v>357</v>
      </c>
      <c r="F292" s="14" t="str">
        <f>INDEX('Woolworths Products'!$B$2:$B$208,MATCH($E292,'Woolworths Products'!$A$2:$A$208,0))</f>
        <v>White Sugar 1 kg</v>
      </c>
      <c r="G292" s="15">
        <v>8</v>
      </c>
      <c r="H292" s="14" t="str">
        <f>INDEX('Woolworths Products'!$G$2:$G$208,MATCH($E292,'Woolworths Products'!$A$2:$A$208,0))</f>
        <v>g</v>
      </c>
      <c r="I292" s="14">
        <f>INDEX('Woolworths Products'!$F$2:$F$208,MATCH($E292,'Woolworths Products'!$A$2:$A$208,0))</f>
        <v>1000</v>
      </c>
      <c r="J292" s="14">
        <f>INDEX('Woolworths Products'!$E$2:$E$208,MATCH($E292,'Woolworths Products'!$A$2:$A$208,0))</f>
        <v>33.99</v>
      </c>
      <c r="K292" s="5">
        <f>IF(COUNTIFS($A$2:A292,A292,$E$2:E292,E292)=1,ROUNDUP(SUMIFS($G:$G,$A:$A,A292,$E:$E,E292)/I292,0),0)</f>
        <v>1</v>
      </c>
      <c r="L292" s="5">
        <f t="shared" ref="L292:L334" si="34">K292*J292</f>
        <v>33.99</v>
      </c>
      <c r="M292" s="5">
        <f t="shared" ref="M292:M334" si="35">G292/I292*J292</f>
        <v>0.27192</v>
      </c>
      <c r="N292" s="9"/>
    </row>
    <row r="293" spans="1:14" x14ac:dyDescent="0.2">
      <c r="A293" s="12" t="s">
        <v>55</v>
      </c>
      <c r="B293" s="12" t="s">
        <v>48</v>
      </c>
      <c r="C293" s="12" t="s">
        <v>793</v>
      </c>
      <c r="D293" s="12" t="s">
        <v>298</v>
      </c>
      <c r="E293" s="13" t="s">
        <v>794</v>
      </c>
      <c r="F293" s="14" t="str">
        <f>INDEX('Woolworths Products'!$B$2:$B$208,MATCH($E293,'Woolworths Products'!$A$2:$A$208,0))</f>
        <v>Organic Bananas Min 800 g</v>
      </c>
      <c r="G293" s="15">
        <v>3</v>
      </c>
      <c r="H293" s="14" t="str">
        <f>INDEX('Woolworths Products'!$G$2:$G$208,MATCH($E293,'Woolworths Products'!$A$2:$A$208,0))</f>
        <v>ea</v>
      </c>
      <c r="I293" s="14">
        <f>INDEX('Woolworths Products'!$F$2:$F$208,MATCH($E293,'Woolworths Products'!$A$2:$A$208,0))</f>
        <v>6</v>
      </c>
      <c r="J293" s="14">
        <f>INDEX('Woolworths Products'!$E$2:$E$208,MATCH($E293,'Woolworths Products'!$A$2:$A$208,0))</f>
        <v>25.99</v>
      </c>
      <c r="K293" s="5">
        <f>IF(COUNTIFS($A$2:A293,A293,$E$2:E293,E293)=1,ROUNDUP(SUMIFS($G:$G,$A:$A,A293,$E:$E,E293)/I293,0),0)</f>
        <v>1</v>
      </c>
      <c r="L293" s="5">
        <f t="shared" si="34"/>
        <v>25.99</v>
      </c>
      <c r="M293" s="5">
        <f t="shared" si="35"/>
        <v>12.994999999999999</v>
      </c>
      <c r="N293" s="9" t="s">
        <v>795</v>
      </c>
    </row>
    <row r="294" spans="1:14" x14ac:dyDescent="0.2">
      <c r="A294" s="12" t="s">
        <v>55</v>
      </c>
      <c r="B294" s="12" t="s">
        <v>48</v>
      </c>
      <c r="C294" s="12" t="s">
        <v>796</v>
      </c>
      <c r="D294" s="12" t="s">
        <v>298</v>
      </c>
      <c r="E294" s="13" t="s">
        <v>794</v>
      </c>
      <c r="F294" s="14" t="str">
        <f>INDEX('Woolworths Products'!$B$2:$B$208,MATCH($E294,'Woolworths Products'!$A$2:$A$208,0))</f>
        <v>Organic Bananas Min 800 g</v>
      </c>
      <c r="G294" s="15">
        <v>1</v>
      </c>
      <c r="H294" s="14" t="str">
        <f>INDEX('Woolworths Products'!$G$2:$G$208,MATCH($E294,'Woolworths Products'!$A$2:$A$208,0))</f>
        <v>ea</v>
      </c>
      <c r="I294" s="14">
        <f>INDEX('Woolworths Products'!$F$2:$F$208,MATCH($E294,'Woolworths Products'!$A$2:$A$208,0))</f>
        <v>6</v>
      </c>
      <c r="J294" s="14">
        <f>INDEX('Woolworths Products'!$E$2:$E$208,MATCH($E294,'Woolworths Products'!$A$2:$A$208,0))</f>
        <v>25.99</v>
      </c>
      <c r="K294" s="5">
        <f>IF(COUNTIFS($A$2:A294,A294,$E$2:E294,E294)=1,ROUNDUP(SUMIFS($G:$G,$A:$A,A294,$E:$E,E294)/I294,0),0)</f>
        <v>0</v>
      </c>
      <c r="L294" s="5">
        <f t="shared" si="34"/>
        <v>0</v>
      </c>
      <c r="M294" s="5">
        <f t="shared" si="35"/>
        <v>4.3316666666666661</v>
      </c>
      <c r="N294" s="9" t="s">
        <v>795</v>
      </c>
    </row>
    <row r="295" spans="1:14" x14ac:dyDescent="0.2">
      <c r="A295" s="12" t="s">
        <v>55</v>
      </c>
      <c r="B295" s="12" t="s">
        <v>48</v>
      </c>
      <c r="C295" s="12" t="s">
        <v>797</v>
      </c>
      <c r="D295" s="12" t="s">
        <v>298</v>
      </c>
      <c r="E295" s="13" t="s">
        <v>388</v>
      </c>
      <c r="F295" s="14" t="str">
        <f>INDEX('Woolworths Products'!$B$2:$B$208,MATCH($E295,'Woolworths Products'!$A$2:$A$208,0))</f>
        <v>Long Life Full Cream Milk 1 L</v>
      </c>
      <c r="G295" s="15">
        <v>250</v>
      </c>
      <c r="H295" s="14" t="str">
        <f>INDEX('Woolworths Products'!$G$2:$G$208,MATCH($E295,'Woolworths Products'!$A$2:$A$208,0))</f>
        <v>ml</v>
      </c>
      <c r="I295" s="14">
        <f>INDEX('Woolworths Products'!$F$2:$F$208,MATCH($E295,'Woolworths Products'!$A$2:$A$208,0))</f>
        <v>1000</v>
      </c>
      <c r="J295" s="14">
        <f>INDEX('Woolworths Products'!$E$2:$E$208,MATCH($E295,'Woolworths Products'!$A$2:$A$208,0))</f>
        <v>22.99</v>
      </c>
      <c r="K295" s="5">
        <f>IF(COUNTIFS($A$2:A295,A295,$E$2:E295,E295)=1,ROUNDUP(SUMIFS($G:$G,$A:$A,A295,$E:$E,E295)/I295,0),0)</f>
        <v>1</v>
      </c>
      <c r="L295" s="5">
        <f t="shared" si="34"/>
        <v>22.99</v>
      </c>
      <c r="M295" s="5">
        <f t="shared" si="35"/>
        <v>5.7474999999999996</v>
      </c>
      <c r="N295" s="9"/>
    </row>
    <row r="296" spans="1:14" x14ac:dyDescent="0.2">
      <c r="A296" s="12" t="s">
        <v>55</v>
      </c>
      <c r="B296" s="12" t="s">
        <v>48</v>
      </c>
      <c r="C296" s="12" t="s">
        <v>339</v>
      </c>
      <c r="D296" s="12" t="s">
        <v>298</v>
      </c>
      <c r="E296" s="13" t="s">
        <v>311</v>
      </c>
      <c r="F296" s="14" t="str">
        <f>INDEX('Woolworths Products'!$B$2:$B$208,MATCH($E296,'Woolworths Products'!$A$2:$A$208,0))</f>
        <v>Free Range Mixed Sizes Chilled Eggs 6 pk</v>
      </c>
      <c r="G296" s="15">
        <v>2</v>
      </c>
      <c r="H296" s="14" t="str">
        <f>INDEX('Woolworths Products'!$G$2:$G$208,MATCH($E296,'Woolworths Products'!$A$2:$A$208,0))</f>
        <v>ea</v>
      </c>
      <c r="I296" s="14">
        <f>INDEX('Woolworths Products'!$F$2:$F$208,MATCH($E296,'Woolworths Products'!$A$2:$A$208,0))</f>
        <v>6</v>
      </c>
      <c r="J296" s="14">
        <f>INDEX('Woolworths Products'!$E$2:$E$208,MATCH($E296,'Woolworths Products'!$A$2:$A$208,0))</f>
        <v>29.99</v>
      </c>
      <c r="K296" s="5">
        <f>IF(COUNTIFS($A$2:A296,A296,$E$2:E296,E296)=1,ROUNDUP(SUMIFS($G:$G,$A:$A,A296,$E:$E,E296)/I296,0),0)</f>
        <v>1</v>
      </c>
      <c r="L296" s="5">
        <f t="shared" si="34"/>
        <v>29.99</v>
      </c>
      <c r="M296" s="5">
        <f t="shared" si="35"/>
        <v>9.9966666666666661</v>
      </c>
      <c r="N296" s="9"/>
    </row>
    <row r="297" spans="1:14" x14ac:dyDescent="0.2">
      <c r="A297" s="12" t="s">
        <v>55</v>
      </c>
      <c r="B297" s="12" t="s">
        <v>48</v>
      </c>
      <c r="C297" s="12" t="s">
        <v>726</v>
      </c>
      <c r="D297" s="12" t="s">
        <v>298</v>
      </c>
      <c r="E297" s="13" t="s">
        <v>363</v>
      </c>
      <c r="F297" s="14" t="str">
        <f>INDEX('Woolworths Products'!$B$2:$B$208,MATCH($E297,'Woolworths Products'!$A$2:$A$208,0))</f>
        <v>Vanilla Essence 50 ml</v>
      </c>
      <c r="G297" s="15">
        <v>5</v>
      </c>
      <c r="H297" s="14" t="str">
        <f>INDEX('Woolworths Products'!$G$2:$G$208,MATCH($E297,'Woolworths Products'!$A$2:$A$208,0))</f>
        <v>ml</v>
      </c>
      <c r="I297" s="14">
        <f>INDEX('Woolworths Products'!$F$2:$F$208,MATCH($E297,'Woolworths Products'!$A$2:$A$208,0))</f>
        <v>50</v>
      </c>
      <c r="J297" s="14">
        <f>INDEX('Woolworths Products'!$E$2:$E$208,MATCH($E297,'Woolworths Products'!$A$2:$A$208,0))</f>
        <v>29.99</v>
      </c>
      <c r="K297" s="5">
        <f>IF(COUNTIFS($A$2:A297,A297,$E$2:E297,E297)=1,ROUNDUP(SUMIFS($G:$G,$A:$A,A297,$E:$E,E297)/I297,0),0)</f>
        <v>1</v>
      </c>
      <c r="L297" s="5">
        <f t="shared" si="34"/>
        <v>29.99</v>
      </c>
      <c r="M297" s="5">
        <f t="shared" si="35"/>
        <v>2.9990000000000001</v>
      </c>
      <c r="N297" s="9"/>
    </row>
    <row r="298" spans="1:14" x14ac:dyDescent="0.2">
      <c r="A298" s="16" t="s">
        <v>55</v>
      </c>
      <c r="B298" s="16" t="s">
        <v>48</v>
      </c>
      <c r="C298" s="16" t="s">
        <v>798</v>
      </c>
      <c r="D298" s="16" t="s">
        <v>298</v>
      </c>
      <c r="E298" s="17" t="s">
        <v>418</v>
      </c>
      <c r="F298" s="18" t="str">
        <f>INDEX('Woolworths Products'!$B$2:$B$208,MATCH($E298,'Woolworths Products'!$A$2:$A$208,0))</f>
        <v>Ayrshire Full Cream Plain Yoghurt 500 g</v>
      </c>
      <c r="G298" s="19">
        <v>150</v>
      </c>
      <c r="H298" s="18" t="str">
        <f>INDEX('Woolworths Products'!$G$2:$G$208,MATCH($E298,'Woolworths Products'!$A$2:$A$208,0))</f>
        <v>g</v>
      </c>
      <c r="I298" s="18">
        <f>INDEX('Woolworths Products'!$F$2:$F$208,MATCH($E298,'Woolworths Products'!$A$2:$A$208,0))</f>
        <v>500</v>
      </c>
      <c r="J298" s="18">
        <f>INDEX('Woolworths Products'!$E$2:$E$208,MATCH($E298,'Woolworths Products'!$A$2:$A$208,0))</f>
        <v>39.99</v>
      </c>
      <c r="K298" s="20">
        <f>IF(COUNTIFS($A$2:A298,A298,$E$2:E298,E298)=1,ROUNDUP(SUMIFS($G:$G,$A:$A,A298,$E:$E,E298)/I298,0),0)</f>
        <v>1</v>
      </c>
      <c r="L298" s="20">
        <f t="shared" si="34"/>
        <v>39.99</v>
      </c>
      <c r="M298" s="20">
        <f t="shared" si="35"/>
        <v>11.997</v>
      </c>
      <c r="N298" s="21" t="s">
        <v>799</v>
      </c>
    </row>
    <row r="299" spans="1:14" x14ac:dyDescent="0.2">
      <c r="A299" s="12" t="s">
        <v>56</v>
      </c>
      <c r="B299" s="12" t="s">
        <v>50</v>
      </c>
      <c r="C299" s="12" t="s">
        <v>800</v>
      </c>
      <c r="D299" s="12" t="s">
        <v>298</v>
      </c>
      <c r="E299" s="13" t="s">
        <v>441</v>
      </c>
      <c r="F299" s="14" t="str">
        <f>INDEX('Woolworths Products'!$B$2:$B$208,MATCH($E299,'Woolworths Products'!$A$2:$A$208,0))</f>
        <v>Baby Spinach 200 g</v>
      </c>
      <c r="G299" s="15">
        <v>30</v>
      </c>
      <c r="H299" s="14" t="str">
        <f>INDEX('Woolworths Products'!$G$2:$G$208,MATCH($E299,'Woolworths Products'!$A$2:$A$208,0))</f>
        <v>g</v>
      </c>
      <c r="I299" s="14">
        <f>INDEX('Woolworths Products'!$F$2:$F$208,MATCH($E299,'Woolworths Products'!$A$2:$A$208,0))</f>
        <v>200</v>
      </c>
      <c r="J299" s="14">
        <f>INDEX('Woolworths Products'!$E$2:$E$208,MATCH($E299,'Woolworths Products'!$A$2:$A$208,0))</f>
        <v>35.99</v>
      </c>
      <c r="K299" s="5">
        <f>IF(COUNTIFS($A$2:A299,A299,$E$2:E299,E299)=1,ROUNDUP(SUMIFS($G:$G,$A:$A,A299,$E:$E,E299)/I299,0),0)</f>
        <v>1</v>
      </c>
      <c r="L299" s="5">
        <f t="shared" si="34"/>
        <v>35.99</v>
      </c>
      <c r="M299" s="5">
        <f t="shared" si="35"/>
        <v>5.3985000000000003</v>
      </c>
      <c r="N299" s="9"/>
    </row>
    <row r="300" spans="1:14" x14ac:dyDescent="0.2">
      <c r="A300" s="12" t="s">
        <v>56</v>
      </c>
      <c r="B300" s="12" t="s">
        <v>50</v>
      </c>
      <c r="C300" s="12" t="s">
        <v>801</v>
      </c>
      <c r="D300" s="12" t="s">
        <v>298</v>
      </c>
      <c r="E300" s="13" t="s">
        <v>404</v>
      </c>
      <c r="F300" s="14" t="str">
        <f>INDEX('Woolworths Products'!$B$2:$B$208,MATCH($E300,'Woolworths Products'!$A$2:$A$208,0))</f>
        <v>Red Onions 1 kg</v>
      </c>
      <c r="G300" s="15">
        <v>50</v>
      </c>
      <c r="H300" s="14" t="str">
        <f>INDEX('Woolworths Products'!$G$2:$G$208,MATCH($E300,'Woolworths Products'!$A$2:$A$208,0))</f>
        <v>g</v>
      </c>
      <c r="I300" s="14">
        <f>INDEX('Woolworths Products'!$F$2:$F$208,MATCH($E300,'Woolworths Products'!$A$2:$A$208,0))</f>
        <v>1000</v>
      </c>
      <c r="J300" s="14">
        <f>INDEX('Woolworths Products'!$E$2:$E$208,MATCH($E300,'Woolworths Products'!$A$2:$A$208,0))</f>
        <v>73.989999999999995</v>
      </c>
      <c r="K300" s="5">
        <f>IF(COUNTIFS($A$2:A300,A300,$E$2:E300,E300)=1,ROUNDUP(SUMIFS($G:$G,$A:$A,A300,$E:$E,E300)/I300,0),0)</f>
        <v>1</v>
      </c>
      <c r="L300" s="5">
        <f t="shared" si="34"/>
        <v>73.989999999999995</v>
      </c>
      <c r="M300" s="5">
        <f t="shared" si="35"/>
        <v>3.6995</v>
      </c>
      <c r="N300" s="9" t="s">
        <v>405</v>
      </c>
    </row>
    <row r="301" spans="1:14" x14ac:dyDescent="0.2">
      <c r="A301" s="12" t="s">
        <v>56</v>
      </c>
      <c r="B301" s="12" t="s">
        <v>50</v>
      </c>
      <c r="C301" s="12" t="s">
        <v>802</v>
      </c>
      <c r="D301" s="12" t="s">
        <v>298</v>
      </c>
      <c r="E301" s="13" t="s">
        <v>803</v>
      </c>
      <c r="F301" s="14" t="str">
        <f>INDEX('Woolworths Products'!$B$2:$B$208,MATCH($E301,'Woolworths Products'!$A$2:$A$208,0))</f>
        <v>Single Red Pepper</v>
      </c>
      <c r="G301" s="15">
        <v>0.5</v>
      </c>
      <c r="H301" s="14" t="str">
        <f>INDEX('Woolworths Products'!$G$2:$G$208,MATCH($E301,'Woolworths Products'!$A$2:$A$208,0))</f>
        <v>ea</v>
      </c>
      <c r="I301" s="14">
        <f>INDEX('Woolworths Products'!$F$2:$F$208,MATCH($E301,'Woolworths Products'!$A$2:$A$208,0))</f>
        <v>1</v>
      </c>
      <c r="J301" s="14">
        <f>INDEX('Woolworths Products'!$E$2:$E$208,MATCH($E301,'Woolworths Products'!$A$2:$A$208,0))</f>
        <v>19.989999999999998</v>
      </c>
      <c r="K301" s="5">
        <f>IF(COUNTIFS($A$2:A301,A301,$E$2:E301,E301)=1,ROUNDUP(SUMIFS($G:$G,$A:$A,A301,$E:$E,E301)/I301,0),0)</f>
        <v>1</v>
      </c>
      <c r="L301" s="5">
        <f t="shared" si="34"/>
        <v>19.989999999999998</v>
      </c>
      <c r="M301" s="5">
        <f t="shared" si="35"/>
        <v>9.9949999999999992</v>
      </c>
      <c r="N301" s="9"/>
    </row>
    <row r="302" spans="1:14" x14ac:dyDescent="0.2">
      <c r="A302" s="12" t="s">
        <v>56</v>
      </c>
      <c r="B302" s="12" t="s">
        <v>50</v>
      </c>
      <c r="C302" s="12" t="s">
        <v>804</v>
      </c>
      <c r="D302" s="12" t="s">
        <v>298</v>
      </c>
      <c r="E302" s="13" t="s">
        <v>311</v>
      </c>
      <c r="F302" s="14" t="str">
        <f>INDEX('Woolworths Products'!$B$2:$B$208,MATCH($E302,'Woolworths Products'!$A$2:$A$208,0))</f>
        <v>Free Range Mixed Sizes Chilled Eggs 6 pk</v>
      </c>
      <c r="G302" s="15">
        <v>2</v>
      </c>
      <c r="H302" s="14" t="str">
        <f>INDEX('Woolworths Products'!$G$2:$G$208,MATCH($E302,'Woolworths Products'!$A$2:$A$208,0))</f>
        <v>ea</v>
      </c>
      <c r="I302" s="14">
        <f>INDEX('Woolworths Products'!$F$2:$F$208,MATCH($E302,'Woolworths Products'!$A$2:$A$208,0))</f>
        <v>6</v>
      </c>
      <c r="J302" s="14">
        <f>INDEX('Woolworths Products'!$E$2:$E$208,MATCH($E302,'Woolworths Products'!$A$2:$A$208,0))</f>
        <v>29.99</v>
      </c>
      <c r="K302" s="5">
        <f>IF(COUNTIFS($A$2:A302,A302,$E$2:E302,E302)=1,ROUNDUP(SUMIFS($G:$G,$A:$A,A302,$E:$E,E302)/I302,0),0)</f>
        <v>1</v>
      </c>
      <c r="L302" s="5">
        <f t="shared" si="34"/>
        <v>29.99</v>
      </c>
      <c r="M302" s="5">
        <f t="shared" si="35"/>
        <v>9.9966666666666661</v>
      </c>
      <c r="N302" s="9"/>
    </row>
    <row r="303" spans="1:14" x14ac:dyDescent="0.2">
      <c r="A303" s="12" t="s">
        <v>56</v>
      </c>
      <c r="B303" s="12" t="s">
        <v>50</v>
      </c>
      <c r="C303" s="12" t="s">
        <v>805</v>
      </c>
      <c r="D303" s="12" t="s">
        <v>298</v>
      </c>
      <c r="E303" s="13" t="s">
        <v>448</v>
      </c>
      <c r="F303" s="14" t="str">
        <f>INDEX('Woolworths Products'!$B$2:$B$208,MATCH($E303,'Woolworths Products'!$A$2:$A$208,0))</f>
        <v>Ripen at Home Loose Avocado</v>
      </c>
      <c r="G303" s="15">
        <v>0.5</v>
      </c>
      <c r="H303" s="14" t="str">
        <f>INDEX('Woolworths Products'!$G$2:$G$208,MATCH($E303,'Woolworths Products'!$A$2:$A$208,0))</f>
        <v>ea</v>
      </c>
      <c r="I303" s="14">
        <f>INDEX('Woolworths Products'!$F$2:$F$208,MATCH($E303,'Woolworths Products'!$A$2:$A$208,0))</f>
        <v>1</v>
      </c>
      <c r="J303" s="14">
        <f>INDEX('Woolworths Products'!$E$2:$E$208,MATCH($E303,'Woolworths Products'!$A$2:$A$208,0))</f>
        <v>19.989999999999998</v>
      </c>
      <c r="K303" s="5">
        <f>IF(COUNTIFS($A$2:A303,A303,$E$2:E303,E303)=1,ROUNDUP(SUMIFS($G:$G,$A:$A,A303,$E:$E,E303)/I303,0),0)</f>
        <v>1</v>
      </c>
      <c r="L303" s="5">
        <f t="shared" si="34"/>
        <v>19.989999999999998</v>
      </c>
      <c r="M303" s="5">
        <f t="shared" si="35"/>
        <v>9.9949999999999992</v>
      </c>
      <c r="N303" s="9"/>
    </row>
    <row r="304" spans="1:14" x14ac:dyDescent="0.2">
      <c r="A304" s="12" t="s">
        <v>56</v>
      </c>
      <c r="B304" s="12" t="s">
        <v>50</v>
      </c>
      <c r="C304" s="12" t="s">
        <v>806</v>
      </c>
      <c r="D304" s="12" t="s">
        <v>298</v>
      </c>
      <c r="E304" s="13" t="s">
        <v>807</v>
      </c>
      <c r="F304" s="14" t="str">
        <f>INDEX('Woolworths Products'!$B$2:$B$208,MATCH($E304,'Woolworths Products'!$A$2:$A$208,0))</f>
        <v>Avocado Oil 250 ml</v>
      </c>
      <c r="G304" s="15">
        <v>20</v>
      </c>
      <c r="H304" s="14" t="str">
        <f>INDEX('Woolworths Products'!$G$2:$G$208,MATCH($E304,'Woolworths Products'!$A$2:$A$208,0))</f>
        <v>ml</v>
      </c>
      <c r="I304" s="14">
        <f>INDEX('Woolworths Products'!$F$2:$F$208,MATCH($E304,'Woolworths Products'!$A$2:$A$208,0))</f>
        <v>250</v>
      </c>
      <c r="J304" s="14">
        <f>INDEX('Woolworths Products'!$E$2:$E$208,MATCH($E304,'Woolworths Products'!$A$2:$A$208,0))</f>
        <v>86.99</v>
      </c>
      <c r="K304" s="5">
        <f>IF(COUNTIFS($A$2:A304,A304,$E$2:E304,E304)=1,ROUNDUP(SUMIFS($G:$G,$A:$A,A304,$E:$E,E304)/I304,0),0)</f>
        <v>1</v>
      </c>
      <c r="L304" s="5">
        <f t="shared" si="34"/>
        <v>86.99</v>
      </c>
      <c r="M304" s="5">
        <f t="shared" si="35"/>
        <v>6.9592000000000001</v>
      </c>
      <c r="N304" s="9"/>
    </row>
    <row r="305" spans="1:14" x14ac:dyDescent="0.2">
      <c r="A305" s="12" t="s">
        <v>56</v>
      </c>
      <c r="B305" s="12" t="s">
        <v>50</v>
      </c>
      <c r="C305" s="12" t="s">
        <v>808</v>
      </c>
      <c r="D305" s="12" t="s">
        <v>298</v>
      </c>
      <c r="E305" s="13" t="s">
        <v>456</v>
      </c>
      <c r="F305" s="14" t="str">
        <f>INDEX('Woolworths Products'!$B$2:$B$208,MATCH($E305,'Woolworths Products'!$A$2:$A$208,0))</f>
        <v>Chickpeas in Brine 400 g</v>
      </c>
      <c r="G305" s="15">
        <v>0.33</v>
      </c>
      <c r="H305" s="14" t="str">
        <f>INDEX('Woolworths Products'!$G$2:$G$208,MATCH($E305,'Woolworths Products'!$A$2:$A$208,0))</f>
        <v>ea</v>
      </c>
      <c r="I305" s="14">
        <f>INDEX('Woolworths Products'!$F$2:$F$208,MATCH($E305,'Woolworths Products'!$A$2:$A$208,0))</f>
        <v>1</v>
      </c>
      <c r="J305" s="14">
        <f>INDEX('Woolworths Products'!$E$2:$E$208,MATCH($E305,'Woolworths Products'!$A$2:$A$208,0))</f>
        <v>28.99</v>
      </c>
      <c r="K305" s="5">
        <f>IF(COUNTIFS($A$2:A305,A305,$E$2:E305,E305)=1,ROUNDUP(SUMIFS($G:$G,$A:$A,A305,$E:$E,E305)/I305,0),0)</f>
        <v>1</v>
      </c>
      <c r="L305" s="5">
        <f t="shared" si="34"/>
        <v>28.99</v>
      </c>
      <c r="M305" s="5">
        <f t="shared" si="35"/>
        <v>9.5666999999999991</v>
      </c>
      <c r="N305" s="9"/>
    </row>
    <row r="306" spans="1:14" x14ac:dyDescent="0.2">
      <c r="A306" s="12" t="s">
        <v>56</v>
      </c>
      <c r="B306" s="12" t="s">
        <v>50</v>
      </c>
      <c r="C306" s="12" t="s">
        <v>758</v>
      </c>
      <c r="D306" s="12" t="s">
        <v>298</v>
      </c>
      <c r="E306" s="13" t="s">
        <v>377</v>
      </c>
      <c r="F306" s="14" t="str">
        <f>INDEX('Woolworths Products'!$B$2:$B$208,MATCH($E306,'Woolworths Products'!$A$2:$A$208,0))</f>
        <v>Fresh Peeled Garlic 50 g</v>
      </c>
      <c r="G306" s="15">
        <v>1</v>
      </c>
      <c r="H306" s="14" t="str">
        <f>INDEX('Woolworths Products'!$G$2:$G$208,MATCH($E306,'Woolworths Products'!$A$2:$A$208,0))</f>
        <v>clove</v>
      </c>
      <c r="I306" s="14">
        <f>INDEX('Woolworths Products'!$F$2:$F$208,MATCH($E306,'Woolworths Products'!$A$2:$A$208,0))</f>
        <v>10</v>
      </c>
      <c r="J306" s="14">
        <f>INDEX('Woolworths Products'!$E$2:$E$208,MATCH($E306,'Woolworths Products'!$A$2:$A$208,0))</f>
        <v>29.99</v>
      </c>
      <c r="K306" s="5">
        <f>IF(COUNTIFS($A$2:A306,A306,$E$2:E306,E306)=1,ROUNDUP(SUMIFS($G:$G,$A:$A,A306,$E:$E,E306)/I306,0),0)</f>
        <v>1</v>
      </c>
      <c r="L306" s="5">
        <f t="shared" si="34"/>
        <v>29.99</v>
      </c>
      <c r="M306" s="5">
        <f t="shared" si="35"/>
        <v>2.9990000000000001</v>
      </c>
      <c r="N306" s="9" t="s">
        <v>378</v>
      </c>
    </row>
    <row r="307" spans="1:14" x14ac:dyDescent="0.2">
      <c r="A307" s="12" t="s">
        <v>56</v>
      </c>
      <c r="B307" s="12" t="s">
        <v>50</v>
      </c>
      <c r="C307" s="12" t="s">
        <v>809</v>
      </c>
      <c r="D307" s="12" t="s">
        <v>298</v>
      </c>
      <c r="E307" s="13" t="s">
        <v>318</v>
      </c>
      <c r="F307" s="14" t="str">
        <f>INDEX('Woolworths Products'!$B$2:$B$208,MATCH($E307,'Woolworths Products'!$A$2:$A$208,0))</f>
        <v>Plain South African Feta Cheese 100 g</v>
      </c>
      <c r="G307" s="15">
        <v>33</v>
      </c>
      <c r="H307" s="14" t="str">
        <f>INDEX('Woolworths Products'!$G$2:$G$208,MATCH($E307,'Woolworths Products'!$A$2:$A$208,0))</f>
        <v>g</v>
      </c>
      <c r="I307" s="14">
        <f>INDEX('Woolworths Products'!$F$2:$F$208,MATCH($E307,'Woolworths Products'!$A$2:$A$208,0))</f>
        <v>100</v>
      </c>
      <c r="J307" s="14">
        <f>INDEX('Woolworths Products'!$E$2:$E$208,MATCH($E307,'Woolworths Products'!$A$2:$A$208,0))</f>
        <v>24.99</v>
      </c>
      <c r="K307" s="5">
        <f>IF(COUNTIFS($A$2:A307,A307,$E$2:E307,E307)=1,ROUNDUP(SUMIFS($G:$G,$A:$A,A307,$E:$E,E307)/I307,0),0)</f>
        <v>1</v>
      </c>
      <c r="L307" s="5">
        <f t="shared" si="34"/>
        <v>24.99</v>
      </c>
      <c r="M307" s="5">
        <f t="shared" si="35"/>
        <v>8.2467000000000006</v>
      </c>
      <c r="N307" s="9" t="s">
        <v>341</v>
      </c>
    </row>
    <row r="308" spans="1:14" x14ac:dyDescent="0.2">
      <c r="A308" s="16" t="s">
        <v>56</v>
      </c>
      <c r="B308" s="16" t="s">
        <v>50</v>
      </c>
      <c r="C308" s="16" t="s">
        <v>810</v>
      </c>
      <c r="D308" s="16" t="s">
        <v>298</v>
      </c>
      <c r="E308" s="17" t="s">
        <v>811</v>
      </c>
      <c r="F308" s="18" t="str">
        <f>INDEX('Woolworths Products'!$B$2:$B$208,MATCH($E308,'Woolworths Products'!$A$2:$A$208,0))</f>
        <v>Willow Creek Cabernet Sauvignon Balsamic Vinegar 250 ml</v>
      </c>
      <c r="G308" s="19">
        <v>10</v>
      </c>
      <c r="H308" s="18" t="str">
        <f>INDEX('Woolworths Products'!$G$2:$G$208,MATCH($E308,'Woolworths Products'!$A$2:$A$208,0))</f>
        <v>ml</v>
      </c>
      <c r="I308" s="18">
        <f>INDEX('Woolworths Products'!$F$2:$F$208,MATCH($E308,'Woolworths Products'!$A$2:$A$208,0))</f>
        <v>250</v>
      </c>
      <c r="J308" s="18">
        <f>INDEX('Woolworths Products'!$E$2:$E$208,MATCH($E308,'Woolworths Products'!$A$2:$A$208,0))</f>
        <v>59.99</v>
      </c>
      <c r="K308" s="20">
        <f>IF(COUNTIFS($A$2:A308,A308,$E$2:E308,E308)=1,ROUNDUP(SUMIFS($G:$G,$A:$A,A308,$E:$E,E308)/I308,0),0)</f>
        <v>1</v>
      </c>
      <c r="L308" s="20">
        <f t="shared" si="34"/>
        <v>59.99</v>
      </c>
      <c r="M308" s="20">
        <f t="shared" si="35"/>
        <v>2.3996</v>
      </c>
      <c r="N308" s="21" t="s">
        <v>504</v>
      </c>
    </row>
    <row r="309" spans="1:14" x14ac:dyDescent="0.2">
      <c r="A309" s="12" t="s">
        <v>56</v>
      </c>
      <c r="B309" s="12" t="s">
        <v>50</v>
      </c>
      <c r="C309" s="12" t="s">
        <v>812</v>
      </c>
      <c r="D309" s="12" t="s">
        <v>298</v>
      </c>
      <c r="E309" s="13" t="s">
        <v>486</v>
      </c>
      <c r="F309" s="14" t="str">
        <f>INDEX('Woolworths Products'!$B$2:$B$208,MATCH($E309,'Woolworths Products'!$A$2:$A$208,0))</f>
        <v>Fresh Basil 30 g</v>
      </c>
      <c r="G309" s="15">
        <v>0.25</v>
      </c>
      <c r="H309" s="14" t="str">
        <f>INDEX('Woolworths Products'!$G$2:$G$208,MATCH($E309,'Woolworths Products'!$A$2:$A$208,0))</f>
        <v>punnet</v>
      </c>
      <c r="I309" s="14">
        <f>INDEX('Woolworths Products'!$F$2:$F$208,MATCH($E309,'Woolworths Products'!$A$2:$A$208,0))</f>
        <v>1</v>
      </c>
      <c r="J309" s="14">
        <f>INDEX('Woolworths Products'!$E$2:$E$208,MATCH($E309,'Woolworths Products'!$A$2:$A$208,0))</f>
        <v>15.99</v>
      </c>
      <c r="K309" s="5">
        <f>IF(COUNTIFS($A$2:A309,A309,$E$2:E309,E309)=1,ROUNDUP(SUMIFS($G:$G,$A:$A,A309,$E:$E,E309)/I309,0),0)</f>
        <v>1</v>
      </c>
      <c r="L309" s="5">
        <f t="shared" si="34"/>
        <v>15.99</v>
      </c>
      <c r="M309" s="5">
        <f t="shared" si="35"/>
        <v>3.9975000000000001</v>
      </c>
      <c r="N309" s="9"/>
    </row>
    <row r="310" spans="1:14" x14ac:dyDescent="0.2">
      <c r="A310" s="12" t="s">
        <v>57</v>
      </c>
      <c r="B310" s="12" t="s">
        <v>11</v>
      </c>
      <c r="C310" s="12" t="s">
        <v>470</v>
      </c>
      <c r="D310" s="12" t="s">
        <v>298</v>
      </c>
      <c r="E310" s="13" t="s">
        <v>371</v>
      </c>
      <c r="F310" s="14" t="str">
        <f>INDEX('Woolworths Products'!$B$2:$B$208,MATCH($E310,'Woolworths Products'!$A$2:$A$208,0))</f>
        <v>Halaal Lean Beef Mince 500 g</v>
      </c>
      <c r="G310" s="15">
        <v>500</v>
      </c>
      <c r="H310" s="14" t="str">
        <f>INDEX('Woolworths Products'!$G$2:$G$208,MATCH($E310,'Woolworths Products'!$A$2:$A$208,0))</f>
        <v>g</v>
      </c>
      <c r="I310" s="14">
        <f>INDEX('Woolworths Products'!$F$2:$F$208,MATCH($E310,'Woolworths Products'!$A$2:$A$208,0))</f>
        <v>500</v>
      </c>
      <c r="J310" s="14">
        <f>INDEX('Woolworths Products'!$E$2:$E$208,MATCH($E310,'Woolworths Products'!$A$2:$A$208,0))</f>
        <v>64.989999999999995</v>
      </c>
      <c r="K310" s="5">
        <f>IF(COUNTIFS($A$2:A310,A310,$E$2:E310,E310)=1,ROUNDUP(SUMIFS($G:$G,$A:$A,A310,$E:$E,E310)/I310,0),0)</f>
        <v>1</v>
      </c>
      <c r="L310" s="5">
        <f t="shared" si="34"/>
        <v>64.989999999999995</v>
      </c>
      <c r="M310" s="5">
        <f t="shared" si="35"/>
        <v>64.989999999999995</v>
      </c>
      <c r="N310" s="9"/>
    </row>
    <row r="311" spans="1:14" x14ac:dyDescent="0.2">
      <c r="A311" s="12" t="s">
        <v>57</v>
      </c>
      <c r="B311" s="12" t="s">
        <v>11</v>
      </c>
      <c r="C311" s="12" t="s">
        <v>813</v>
      </c>
      <c r="D311" s="12" t="s">
        <v>298</v>
      </c>
      <c r="E311" s="13" t="s">
        <v>343</v>
      </c>
      <c r="F311" s="14" t="str">
        <f>INDEX('Woolworths Products'!$B$2:$B$208,MATCH($E311,'Woolworths Products'!$A$2:$A$208,0))</f>
        <v>Brown Onions 1 kg</v>
      </c>
      <c r="G311" s="15">
        <v>150</v>
      </c>
      <c r="H311" s="14" t="str">
        <f>INDEX('Woolworths Products'!$G$2:$G$208,MATCH($E311,'Woolworths Products'!$A$2:$A$208,0))</f>
        <v>g</v>
      </c>
      <c r="I311" s="14">
        <f>INDEX('Woolworths Products'!$F$2:$F$208,MATCH($E311,'Woolworths Products'!$A$2:$A$208,0))</f>
        <v>1000</v>
      </c>
      <c r="J311" s="14">
        <f>INDEX('Woolworths Products'!$E$2:$E$208,MATCH($E311,'Woolworths Products'!$A$2:$A$208,0))</f>
        <v>39.9</v>
      </c>
      <c r="K311" s="5">
        <f>IF(COUNTIFS($A$2:A311,A311,$E$2:E311,E311)=1,ROUNDUP(SUMIFS($G:$G,$A:$A,A311,$E:$E,E311)/I311,0),0)</f>
        <v>1</v>
      </c>
      <c r="L311" s="5">
        <f t="shared" si="34"/>
        <v>39.9</v>
      </c>
      <c r="M311" s="5">
        <f t="shared" si="35"/>
        <v>5.9849999999999994</v>
      </c>
      <c r="N311" s="9" t="s">
        <v>344</v>
      </c>
    </row>
    <row r="312" spans="1:14" x14ac:dyDescent="0.2">
      <c r="A312" s="12" t="s">
        <v>57</v>
      </c>
      <c r="B312" s="12" t="s">
        <v>11</v>
      </c>
      <c r="C312" s="12" t="s">
        <v>426</v>
      </c>
      <c r="D312" s="12" t="s">
        <v>298</v>
      </c>
      <c r="E312" s="13" t="s">
        <v>377</v>
      </c>
      <c r="F312" s="14" t="str">
        <f>INDEX('Woolworths Products'!$B$2:$B$208,MATCH($E312,'Woolworths Products'!$A$2:$A$208,0))</f>
        <v>Fresh Peeled Garlic 50 g</v>
      </c>
      <c r="G312" s="15">
        <v>2</v>
      </c>
      <c r="H312" s="14" t="str">
        <f>INDEX('Woolworths Products'!$G$2:$G$208,MATCH($E312,'Woolworths Products'!$A$2:$A$208,0))</f>
        <v>clove</v>
      </c>
      <c r="I312" s="14">
        <f>INDEX('Woolworths Products'!$F$2:$F$208,MATCH($E312,'Woolworths Products'!$A$2:$A$208,0))</f>
        <v>10</v>
      </c>
      <c r="J312" s="14">
        <f>INDEX('Woolworths Products'!$E$2:$E$208,MATCH($E312,'Woolworths Products'!$A$2:$A$208,0))</f>
        <v>29.99</v>
      </c>
      <c r="K312" s="5">
        <f>IF(COUNTIFS($A$2:A312,A312,$E$2:E312,E312)=1,ROUNDUP(SUMIFS($G:$G,$A:$A,A312,$E:$E,E312)/I312,0),0)</f>
        <v>1</v>
      </c>
      <c r="L312" s="5">
        <f t="shared" si="34"/>
        <v>29.99</v>
      </c>
      <c r="M312" s="5">
        <f t="shared" si="35"/>
        <v>5.9980000000000002</v>
      </c>
      <c r="N312" s="9" t="s">
        <v>378</v>
      </c>
    </row>
    <row r="313" spans="1:14" x14ac:dyDescent="0.2">
      <c r="A313" s="12" t="s">
        <v>57</v>
      </c>
      <c r="B313" s="12" t="s">
        <v>11</v>
      </c>
      <c r="C313" s="12" t="s">
        <v>814</v>
      </c>
      <c r="D313" s="12" t="s">
        <v>298</v>
      </c>
      <c r="E313" s="13" t="s">
        <v>330</v>
      </c>
      <c r="F313" s="14" t="str">
        <f>INDEX('Woolworths Products'!$B$2:$B$208,MATCH($E313,'Woolworths Products'!$A$2:$A$208,0))</f>
        <v>Prince Albert Extra Virgin Olive Oil 250 ml</v>
      </c>
      <c r="G313" s="15">
        <v>15</v>
      </c>
      <c r="H313" s="14" t="str">
        <f>INDEX('Woolworths Products'!$G$2:$G$208,MATCH($E313,'Woolworths Products'!$A$2:$A$208,0))</f>
        <v>ml</v>
      </c>
      <c r="I313" s="14">
        <f>INDEX('Woolworths Products'!$F$2:$F$208,MATCH($E313,'Woolworths Products'!$A$2:$A$208,0))</f>
        <v>250</v>
      </c>
      <c r="J313" s="14">
        <f>INDEX('Woolworths Products'!$E$2:$E$208,MATCH($E313,'Woolworths Products'!$A$2:$A$208,0))</f>
        <v>109.99</v>
      </c>
      <c r="K313" s="5">
        <f>IF(COUNTIFS($A$2:A313,A313,$E$2:E313,E313)=1,ROUNDUP(SUMIFS($G:$G,$A:$A,A313,$E:$E,E313)/I313,0),0)</f>
        <v>1</v>
      </c>
      <c r="L313" s="5">
        <f t="shared" si="34"/>
        <v>109.99</v>
      </c>
      <c r="M313" s="5">
        <f t="shared" si="35"/>
        <v>6.5993999999999993</v>
      </c>
      <c r="N313" s="9"/>
    </row>
    <row r="314" spans="1:14" x14ac:dyDescent="0.2">
      <c r="A314" s="12" t="s">
        <v>57</v>
      </c>
      <c r="B314" s="12" t="s">
        <v>11</v>
      </c>
      <c r="C314" s="12" t="s">
        <v>815</v>
      </c>
      <c r="D314" s="12" t="s">
        <v>298</v>
      </c>
      <c r="E314" s="13" t="s">
        <v>409</v>
      </c>
      <c r="F314" s="14" t="str">
        <f>INDEX('Woolworths Products'!$B$2:$B$208,MATCH($E314,'Woolworths Products'!$A$2:$A$208,0))</f>
        <v>Fresh Coriander 30 g</v>
      </c>
      <c r="G314" s="15">
        <v>0.5</v>
      </c>
      <c r="H314" s="14" t="str">
        <f>INDEX('Woolworths Products'!$G$2:$G$208,MATCH($E314,'Woolworths Products'!$A$2:$A$208,0))</f>
        <v>punnet</v>
      </c>
      <c r="I314" s="14">
        <f>INDEX('Woolworths Products'!$F$2:$F$208,MATCH($E314,'Woolworths Products'!$A$2:$A$208,0))</f>
        <v>1</v>
      </c>
      <c r="J314" s="14">
        <f>INDEX('Woolworths Products'!$E$2:$E$208,MATCH($E314,'Woolworths Products'!$A$2:$A$208,0))</f>
        <v>15.99</v>
      </c>
      <c r="K314" s="5">
        <f>IF(COUNTIFS($A$2:A314,A314,$E$2:E314,E314)=1,ROUNDUP(SUMIFS($G:$G,$A:$A,A314,$E:$E,E314)/I314,0),0)</f>
        <v>1</v>
      </c>
      <c r="L314" s="5">
        <f t="shared" si="34"/>
        <v>15.99</v>
      </c>
      <c r="M314" s="5">
        <f t="shared" si="35"/>
        <v>7.9950000000000001</v>
      </c>
      <c r="N314" s="9"/>
    </row>
    <row r="315" spans="1:14" x14ac:dyDescent="0.2">
      <c r="A315" s="12" t="s">
        <v>57</v>
      </c>
      <c r="B315" s="12" t="s">
        <v>11</v>
      </c>
      <c r="C315" s="12" t="s">
        <v>816</v>
      </c>
      <c r="D315" s="12" t="s">
        <v>298</v>
      </c>
      <c r="E315" s="13" t="s">
        <v>817</v>
      </c>
      <c r="F315" s="14" t="str">
        <f>INDEX('Woolworths Products'!$B$2:$B$208,MATCH($E315,'Woolworths Products'!$A$2:$A$208,0))</f>
        <v>Oregano Refill 15 g</v>
      </c>
      <c r="G315" s="15">
        <v>2</v>
      </c>
      <c r="H315" s="14" t="str">
        <f>INDEX('Woolworths Products'!$G$2:$G$208,MATCH($E315,'Woolworths Products'!$A$2:$A$208,0))</f>
        <v>g</v>
      </c>
      <c r="I315" s="14">
        <f>INDEX('Woolworths Products'!$F$2:$F$208,MATCH($E315,'Woolworths Products'!$A$2:$A$208,0))</f>
        <v>15</v>
      </c>
      <c r="J315" s="14">
        <f>INDEX('Woolworths Products'!$E$2:$E$208,MATCH($E315,'Woolworths Products'!$A$2:$A$208,0))</f>
        <v>25.99</v>
      </c>
      <c r="K315" s="5">
        <f>IF(COUNTIFS($A$2:A315,A315,$E$2:E315,E315)=1,ROUNDUP(SUMIFS($G:$G,$A:$A,A315,$E:$E,E315)/I315,0),0)</f>
        <v>1</v>
      </c>
      <c r="L315" s="5">
        <f t="shared" si="34"/>
        <v>25.99</v>
      </c>
      <c r="M315" s="5">
        <f t="shared" si="35"/>
        <v>3.4653333333333332</v>
      </c>
      <c r="N315" s="9" t="s">
        <v>818</v>
      </c>
    </row>
    <row r="316" spans="1:14" x14ac:dyDescent="0.2">
      <c r="A316" s="12" t="s">
        <v>57</v>
      </c>
      <c r="B316" s="12" t="s">
        <v>11</v>
      </c>
      <c r="C316" s="12" t="s">
        <v>819</v>
      </c>
      <c r="D316" s="12" t="s">
        <v>298</v>
      </c>
      <c r="E316" s="13" t="s">
        <v>820</v>
      </c>
      <c r="F316" s="14" t="str">
        <f>INDEX('Woolworths Products'!$B$2:$B$208,MATCH($E316,'Woolworths Products'!$A$2:$A$208,0))</f>
        <v>Ground Cumin Refill 50 g</v>
      </c>
      <c r="G316" s="15">
        <v>2.5</v>
      </c>
      <c r="H316" s="14" t="str">
        <f>INDEX('Woolworths Products'!$G$2:$G$208,MATCH($E316,'Woolworths Products'!$A$2:$A$208,0))</f>
        <v>g</v>
      </c>
      <c r="I316" s="14">
        <f>INDEX('Woolworths Products'!$F$2:$F$208,MATCH($E316,'Woolworths Products'!$A$2:$A$208,0))</f>
        <v>50</v>
      </c>
      <c r="J316" s="14">
        <f>INDEX('Woolworths Products'!$E$2:$E$208,MATCH($E316,'Woolworths Products'!$A$2:$A$208,0))</f>
        <v>34.99</v>
      </c>
      <c r="K316" s="5">
        <f>IF(COUNTIFS($A$2:A316,A316,$E$2:E316,E316)=1,ROUNDUP(SUMIFS($G:$G,$A:$A,A316,$E:$E,E316)/I316,0),0)</f>
        <v>1</v>
      </c>
      <c r="L316" s="5">
        <f t="shared" si="34"/>
        <v>34.99</v>
      </c>
      <c r="M316" s="5">
        <f t="shared" si="35"/>
        <v>1.7495000000000003</v>
      </c>
      <c r="N316" s="9"/>
    </row>
    <row r="317" spans="1:14" x14ac:dyDescent="0.2">
      <c r="A317" s="12" t="s">
        <v>57</v>
      </c>
      <c r="B317" s="12" t="s">
        <v>11</v>
      </c>
      <c r="C317" s="12" t="s">
        <v>821</v>
      </c>
      <c r="D317" s="12" t="s">
        <v>298</v>
      </c>
      <c r="E317" s="13" t="s">
        <v>822</v>
      </c>
      <c r="F317" s="14" t="str">
        <f>INDEX('Woolworths Products'!$B$2:$B$208,MATCH($E317,'Woolworths Products'!$A$2:$A$208,0))</f>
        <v>Turmeric Refill 55 g</v>
      </c>
      <c r="G317" s="15">
        <v>2.5</v>
      </c>
      <c r="H317" s="14" t="str">
        <f>INDEX('Woolworths Products'!$G$2:$G$208,MATCH($E317,'Woolworths Products'!$A$2:$A$208,0))</f>
        <v>g</v>
      </c>
      <c r="I317" s="14">
        <f>INDEX('Woolworths Products'!$F$2:$F$208,MATCH($E317,'Woolworths Products'!$A$2:$A$208,0))</f>
        <v>55</v>
      </c>
      <c r="J317" s="14">
        <f>INDEX('Woolworths Products'!$E$2:$E$208,MATCH($E317,'Woolworths Products'!$A$2:$A$208,0))</f>
        <v>29.99</v>
      </c>
      <c r="K317" s="5">
        <f>IF(COUNTIFS($A$2:A317,A317,$E$2:E317,E317)=1,ROUNDUP(SUMIFS($G:$G,$A:$A,A317,$E:$E,E317)/I317,0),0)</f>
        <v>1</v>
      </c>
      <c r="L317" s="5">
        <f t="shared" si="34"/>
        <v>29.99</v>
      </c>
      <c r="M317" s="5">
        <f t="shared" si="35"/>
        <v>1.3631818181818181</v>
      </c>
      <c r="N317" s="9"/>
    </row>
    <row r="318" spans="1:14" x14ac:dyDescent="0.2">
      <c r="A318" s="12" t="s">
        <v>57</v>
      </c>
      <c r="B318" s="12" t="s">
        <v>11</v>
      </c>
      <c r="C318" s="12" t="s">
        <v>823</v>
      </c>
      <c r="D318" s="12" t="s">
        <v>298</v>
      </c>
      <c r="E318" s="13" t="s">
        <v>483</v>
      </c>
      <c r="F318" s="14" t="str">
        <f>INDEX('Woolworths Products'!$B$2:$B$208,MATCH($E318,'Woolworths Products'!$A$2:$A$208,0))</f>
        <v>Tomato Paste 70 g</v>
      </c>
      <c r="G318" s="15">
        <v>50</v>
      </c>
      <c r="H318" s="14" t="str">
        <f>INDEX('Woolworths Products'!$G$2:$G$208,MATCH($E318,'Woolworths Products'!$A$2:$A$208,0))</f>
        <v>g</v>
      </c>
      <c r="I318" s="14">
        <f>INDEX('Woolworths Products'!$F$2:$F$208,MATCH($E318,'Woolworths Products'!$A$2:$A$208,0))</f>
        <v>70</v>
      </c>
      <c r="J318" s="14">
        <f>INDEX('Woolworths Products'!$E$2:$E$208,MATCH($E318,'Woolworths Products'!$A$2:$A$208,0))</f>
        <v>17.989999999999998</v>
      </c>
      <c r="K318" s="5">
        <f>IF(COUNTIFS($A$2:A318,A318,$E$2:E318,E318)=1,ROUNDUP(SUMIFS($G:$G,$A:$A,A318,$E:$E,E318)/I318,0),0)</f>
        <v>1</v>
      </c>
      <c r="L318" s="5">
        <f t="shared" si="34"/>
        <v>17.989999999999998</v>
      </c>
      <c r="M318" s="5">
        <f t="shared" si="35"/>
        <v>12.85</v>
      </c>
      <c r="N318" s="9" t="s">
        <v>484</v>
      </c>
    </row>
    <row r="319" spans="1:14" x14ac:dyDescent="0.2">
      <c r="A319" s="12" t="s">
        <v>57</v>
      </c>
      <c r="B319" s="12" t="s">
        <v>11</v>
      </c>
      <c r="C319" s="12" t="s">
        <v>824</v>
      </c>
      <c r="D319" s="12" t="s">
        <v>298</v>
      </c>
      <c r="E319" s="13" t="s">
        <v>479</v>
      </c>
      <c r="F319" s="14" t="str">
        <f>INDEX('Woolworths Products'!$B$2:$B$208,MATCH($E319,'Woolworths Products'!$A$2:$A$208,0))</f>
        <v>Slicing Tomatoes 4 pk</v>
      </c>
      <c r="G319" s="15">
        <v>3</v>
      </c>
      <c r="H319" s="14" t="str">
        <f>INDEX('Woolworths Products'!$G$2:$G$208,MATCH($E319,'Woolworths Products'!$A$2:$A$208,0))</f>
        <v>ea</v>
      </c>
      <c r="I319" s="14">
        <f>INDEX('Woolworths Products'!$F$2:$F$208,MATCH($E319,'Woolworths Products'!$A$2:$A$208,0))</f>
        <v>4</v>
      </c>
      <c r="J319" s="14">
        <f>INDEX('Woolworths Products'!$E$2:$E$208,MATCH($E319,'Woolworths Products'!$A$2:$A$208,0))</f>
        <v>26.99</v>
      </c>
      <c r="K319" s="5">
        <f>IF(COUNTIFS($A$2:A319,A319,$E$2:E319,E319)=1,ROUNDUP(SUMIFS($G:$G,$A:$A,A319,$E:$E,E319)/I319,0),0)</f>
        <v>1</v>
      </c>
      <c r="L319" s="5">
        <f t="shared" si="34"/>
        <v>26.99</v>
      </c>
      <c r="M319" s="5">
        <f t="shared" si="35"/>
        <v>20.2425</v>
      </c>
      <c r="N319" s="9" t="s">
        <v>825</v>
      </c>
    </row>
    <row r="320" spans="1:14" x14ac:dyDescent="0.2">
      <c r="A320" s="12" t="s">
        <v>57</v>
      </c>
      <c r="B320" s="12" t="s">
        <v>11</v>
      </c>
      <c r="C320" s="12" t="s">
        <v>826</v>
      </c>
      <c r="D320" s="12" t="s">
        <v>298</v>
      </c>
      <c r="E320" s="13" t="s">
        <v>827</v>
      </c>
      <c r="F320" s="14" t="str">
        <f>INDEX('Woolworths Products'!$B$2:$B$208,MATCH($E320,'Woolworths Products'!$A$2:$A$208,0))</f>
        <v>Red Kidney Beans in Brine 400 g</v>
      </c>
      <c r="G320" s="15">
        <v>1</v>
      </c>
      <c r="H320" s="14" t="str">
        <f>INDEX('Woolworths Products'!$G$2:$G$208,MATCH($E320,'Woolworths Products'!$A$2:$A$208,0))</f>
        <v>ea</v>
      </c>
      <c r="I320" s="14">
        <f>INDEX('Woolworths Products'!$F$2:$F$208,MATCH($E320,'Woolworths Products'!$A$2:$A$208,0))</f>
        <v>1</v>
      </c>
      <c r="J320" s="14">
        <f>INDEX('Woolworths Products'!$E$2:$E$208,MATCH($E320,'Woolworths Products'!$A$2:$A$208,0))</f>
        <v>28.99</v>
      </c>
      <c r="K320" s="5">
        <f>IF(COUNTIFS($A$2:A320,A320,$E$2:E320,E320)=1,ROUNDUP(SUMIFS($G:$G,$A:$A,A320,$E:$E,E320)/I320,0),0)</f>
        <v>1</v>
      </c>
      <c r="L320" s="5">
        <f t="shared" si="34"/>
        <v>28.99</v>
      </c>
      <c r="M320" s="5">
        <f t="shared" si="35"/>
        <v>28.99</v>
      </c>
      <c r="N320" s="9"/>
    </row>
    <row r="321" spans="1:14" x14ac:dyDescent="0.2">
      <c r="A321" s="12" t="s">
        <v>57</v>
      </c>
      <c r="B321" s="12" t="s">
        <v>11</v>
      </c>
      <c r="C321" s="12" t="s">
        <v>828</v>
      </c>
      <c r="D321" s="12" t="s">
        <v>298</v>
      </c>
      <c r="E321" s="13" t="s">
        <v>829</v>
      </c>
      <c r="F321" s="14" t="str">
        <f>INDEX('Woolworths Products'!$B$2:$B$208,MATCH($E321,'Woolworths Products'!$A$2:$A$208,0))</f>
        <v>Koo Whole Kernel Corn in Brine 410 g</v>
      </c>
      <c r="G321" s="15">
        <v>1</v>
      </c>
      <c r="H321" s="14" t="str">
        <f>INDEX('Woolworths Products'!$G$2:$G$208,MATCH($E321,'Woolworths Products'!$A$2:$A$208,0))</f>
        <v>ea</v>
      </c>
      <c r="I321" s="14">
        <f>INDEX('Woolworths Products'!$F$2:$F$208,MATCH($E321,'Woolworths Products'!$A$2:$A$208,0))</f>
        <v>1</v>
      </c>
      <c r="J321" s="14">
        <f>INDEX('Woolworths Products'!$E$2:$E$208,MATCH($E321,'Woolworths Products'!$A$2:$A$208,0))</f>
        <v>23.99</v>
      </c>
      <c r="K321" s="5">
        <f>IF(COUNTIFS($A$2:A321,A321,$E$2:E321,E321)=1,ROUNDUP(SUMIFS($G:$G,$A:$A,A321,$E:$E,E321)/I321,0),0)</f>
        <v>1</v>
      </c>
      <c r="L321" s="5">
        <f t="shared" si="34"/>
        <v>23.99</v>
      </c>
      <c r="M321" s="5">
        <f t="shared" si="35"/>
        <v>23.99</v>
      </c>
      <c r="N321" s="9"/>
    </row>
    <row r="322" spans="1:14" x14ac:dyDescent="0.2">
      <c r="A322" s="12" t="s">
        <v>57</v>
      </c>
      <c r="B322" s="12" t="s">
        <v>11</v>
      </c>
      <c r="C322" s="12" t="s">
        <v>830</v>
      </c>
      <c r="D322" s="12" t="s">
        <v>298</v>
      </c>
      <c r="E322" s="13" t="s">
        <v>566</v>
      </c>
      <c r="F322" s="14" t="str">
        <f>INDEX('Woolworths Products'!$B$2:$B$208,MATCH($E322,'Woolworths Products'!$A$2:$A$208,0))</f>
        <v>Fresh Free Range Liquid Beef Stock 500 ml</v>
      </c>
      <c r="G322" s="15">
        <v>250</v>
      </c>
      <c r="H322" s="14" t="str">
        <f>INDEX('Woolworths Products'!$G$2:$G$208,MATCH($E322,'Woolworths Products'!$A$2:$A$208,0))</f>
        <v>ml</v>
      </c>
      <c r="I322" s="14">
        <f>INDEX('Woolworths Products'!$F$2:$F$208,MATCH($E322,'Woolworths Products'!$A$2:$A$208,0))</f>
        <v>500</v>
      </c>
      <c r="J322" s="14">
        <f>INDEX('Woolworths Products'!$E$2:$E$208,MATCH($E322,'Woolworths Products'!$A$2:$A$208,0))</f>
        <v>54.99</v>
      </c>
      <c r="K322" s="5">
        <f>IF(COUNTIFS($A$2:A322,A322,$E$2:E322,E322)=1,ROUNDUP(SUMIFS($G:$G,$A:$A,A322,$E:$E,E322)/I322,0),0)</f>
        <v>1</v>
      </c>
      <c r="L322" s="5">
        <f t="shared" si="34"/>
        <v>54.99</v>
      </c>
      <c r="M322" s="5">
        <f t="shared" si="35"/>
        <v>27.495000000000001</v>
      </c>
      <c r="N322" s="9"/>
    </row>
    <row r="323" spans="1:14" x14ac:dyDescent="0.2">
      <c r="A323" s="16" t="s">
        <v>57</v>
      </c>
      <c r="B323" s="16" t="s">
        <v>11</v>
      </c>
      <c r="C323" s="16" t="s">
        <v>831</v>
      </c>
      <c r="D323" s="16" t="s">
        <v>298</v>
      </c>
      <c r="E323" s="17" t="s">
        <v>489</v>
      </c>
      <c r="F323" s="18" t="str">
        <f>INDEX('Woolworths Products'!$B$2:$B$208,MATCH($E323,'Woolworths Products'!$A$2:$A$208,0))</f>
        <v>Large Potatoes 2 kg</v>
      </c>
      <c r="G323" s="19">
        <v>800</v>
      </c>
      <c r="H323" s="18" t="str">
        <f>INDEX('Woolworths Products'!$G$2:$G$208,MATCH($E323,'Woolworths Products'!$A$2:$A$208,0))</f>
        <v>g</v>
      </c>
      <c r="I323" s="18">
        <f>INDEX('Woolworths Products'!$F$2:$F$208,MATCH($E323,'Woolworths Products'!$A$2:$A$208,0))</f>
        <v>2000</v>
      </c>
      <c r="J323" s="18">
        <f>INDEX('Woolworths Products'!$E$2:$E$208,MATCH($E323,'Woolworths Products'!$A$2:$A$208,0))</f>
        <v>48.99</v>
      </c>
      <c r="K323" s="20">
        <f>IF(COUNTIFS($A$2:A323,A323,$E$2:E323,E323)=1,ROUNDUP(SUMIFS($G:$G,$A:$A,A323,$E:$E,E323)/I323,0),0)</f>
        <v>1</v>
      </c>
      <c r="L323" s="20">
        <f t="shared" si="34"/>
        <v>48.99</v>
      </c>
      <c r="M323" s="20">
        <f t="shared" si="35"/>
        <v>19.596000000000004</v>
      </c>
      <c r="N323" s="21" t="s">
        <v>490</v>
      </c>
    </row>
    <row r="324" spans="1:14" ht="28" x14ac:dyDescent="0.2">
      <c r="A324" s="16" t="s">
        <v>57</v>
      </c>
      <c r="B324" s="16" t="s">
        <v>11</v>
      </c>
      <c r="C324" s="16" t="s">
        <v>832</v>
      </c>
      <c r="D324" s="16" t="s">
        <v>298</v>
      </c>
      <c r="E324" s="17" t="s">
        <v>448</v>
      </c>
      <c r="F324" s="18" t="str">
        <f>INDEX('Woolworths Products'!$B$2:$B$208,MATCH($E324,'Woolworths Products'!$A$2:$A$208,0))</f>
        <v>Ripen at Home Loose Avocado</v>
      </c>
      <c r="G324" s="19">
        <v>1</v>
      </c>
      <c r="H324" s="18" t="str">
        <f>INDEX('Woolworths Products'!$G$2:$G$208,MATCH($E324,'Woolworths Products'!$A$2:$A$208,0))</f>
        <v>ea</v>
      </c>
      <c r="I324" s="18">
        <f>INDEX('Woolworths Products'!$F$2:$F$208,MATCH($E324,'Woolworths Products'!$A$2:$A$208,0))</f>
        <v>1</v>
      </c>
      <c r="J324" s="18">
        <f>INDEX('Woolworths Products'!$E$2:$E$208,MATCH($E324,'Woolworths Products'!$A$2:$A$208,0))</f>
        <v>19.989999999999998</v>
      </c>
      <c r="K324" s="20">
        <f>IF(COUNTIFS($A$2:A324,A324,$E$2:E324,E324)=1,ROUNDUP(SUMIFS($G:$G,$A:$A,A324,$E:$E,E324)/I324,0),0)</f>
        <v>1</v>
      </c>
      <c r="L324" s="20">
        <f t="shared" si="34"/>
        <v>19.989999999999998</v>
      </c>
      <c r="M324" s="20">
        <f t="shared" si="35"/>
        <v>19.989999999999998</v>
      </c>
      <c r="N324" s="21" t="s">
        <v>833</v>
      </c>
    </row>
    <row r="325" spans="1:14" x14ac:dyDescent="0.2">
      <c r="A325" s="12" t="s">
        <v>57</v>
      </c>
      <c r="B325" s="12" t="s">
        <v>11</v>
      </c>
      <c r="C325" s="12" t="s">
        <v>834</v>
      </c>
      <c r="D325" s="12" t="s">
        <v>298</v>
      </c>
      <c r="E325" s="13" t="s">
        <v>835</v>
      </c>
      <c r="F325" s="14" t="str">
        <f>INDEX('Woolworths Products'!$B$2:$B$208,MATCH($E325,'Woolworths Products'!$A$2:$A$208,0))</f>
        <v>Mild Salsa 400 g</v>
      </c>
      <c r="G325" s="15">
        <v>100</v>
      </c>
      <c r="H325" s="14" t="str">
        <f>INDEX('Woolworths Products'!$G$2:$G$208,MATCH($E325,'Woolworths Products'!$A$2:$A$208,0))</f>
        <v>g</v>
      </c>
      <c r="I325" s="14">
        <f>INDEX('Woolworths Products'!$F$2:$F$208,MATCH($E325,'Woolworths Products'!$A$2:$A$208,0))</f>
        <v>400</v>
      </c>
      <c r="J325" s="14">
        <f>INDEX('Woolworths Products'!$E$2:$E$208,MATCH($E325,'Woolworths Products'!$A$2:$A$208,0))</f>
        <v>49.99</v>
      </c>
      <c r="K325" s="5">
        <f>IF(COUNTIFS($A$2:A325,A325,$E$2:E325,E325)=1,ROUNDUP(SUMIFS($G:$G,$A:$A,A325,$E:$E,E325)/I325,0),0)</f>
        <v>1</v>
      </c>
      <c r="L325" s="5">
        <f t="shared" si="34"/>
        <v>49.99</v>
      </c>
      <c r="M325" s="5">
        <f t="shared" si="35"/>
        <v>12.4975</v>
      </c>
      <c r="N325" s="9"/>
    </row>
    <row r="326" spans="1:14" x14ac:dyDescent="0.2">
      <c r="A326" s="12" t="s">
        <v>57</v>
      </c>
      <c r="B326" s="12" t="s">
        <v>11</v>
      </c>
      <c r="C326" s="12" t="s">
        <v>836</v>
      </c>
      <c r="D326" s="12" t="s">
        <v>298</v>
      </c>
      <c r="E326" s="13" t="s">
        <v>837</v>
      </c>
      <c r="F326" s="14" t="str">
        <f>INDEX('Woolworths Products'!$B$2:$B$208,MATCH($E326,'Woolworths Products'!$A$2:$A$208,0))</f>
        <v>Pick &amp; Mix Solo Leaf Iceberg Lettuce 135 g</v>
      </c>
      <c r="G326" s="15">
        <v>1</v>
      </c>
      <c r="H326" s="14" t="str">
        <f>INDEX('Woolworths Products'!$G$2:$G$208,MATCH($E326,'Woolworths Products'!$A$2:$A$208,0))</f>
        <v>ea</v>
      </c>
      <c r="I326" s="14">
        <f>INDEX('Woolworths Products'!$F$2:$F$208,MATCH($E326,'Woolworths Products'!$A$2:$A$208,0))</f>
        <v>1</v>
      </c>
      <c r="J326" s="14">
        <f>INDEX('Woolworths Products'!$E$2:$E$208,MATCH($E326,'Woolworths Products'!$A$2:$A$208,0))</f>
        <v>19.989999999999998</v>
      </c>
      <c r="K326" s="5">
        <f>IF(COUNTIFS($A$2:A326,A326,$E$2:E326,E326)=1,ROUNDUP(SUMIFS($G:$G,$A:$A,A326,$E:$E,E326)/I326,0),0)</f>
        <v>1</v>
      </c>
      <c r="L326" s="5">
        <f t="shared" si="34"/>
        <v>19.989999999999998</v>
      </c>
      <c r="M326" s="5">
        <f t="shared" si="35"/>
        <v>19.989999999999998</v>
      </c>
      <c r="N326" s="9"/>
    </row>
    <row r="327" spans="1:14" x14ac:dyDescent="0.2">
      <c r="A327" s="12" t="s">
        <v>58</v>
      </c>
      <c r="B327" s="12" t="s">
        <v>11</v>
      </c>
      <c r="C327" s="12" t="s">
        <v>838</v>
      </c>
      <c r="D327" s="12" t="s">
        <v>298</v>
      </c>
      <c r="E327" s="13" t="s">
        <v>839</v>
      </c>
      <c r="F327" s="14" t="str">
        <f>INDEX('Woolworths Products'!$B$2:$B$208,MATCH($E327,'Woolworths Products'!$A$2:$A$208,0))</f>
        <v>Rosa Tomatoes 600 g</v>
      </c>
      <c r="G327" s="15">
        <v>1</v>
      </c>
      <c r="H327" s="14" t="str">
        <f>INDEX('Woolworths Products'!$G$2:$G$208,MATCH($E327,'Woolworths Products'!$A$2:$A$208,0))</f>
        <v>ea</v>
      </c>
      <c r="I327" s="14">
        <f>INDEX('Woolworths Products'!$F$2:$F$208,MATCH($E327,'Woolworths Products'!$A$2:$A$208,0))</f>
        <v>1</v>
      </c>
      <c r="J327" s="14">
        <f>INDEX('Woolworths Products'!$E$2:$E$208,MATCH($E327,'Woolworths Products'!$A$2:$A$208,0))</f>
        <v>58.99</v>
      </c>
      <c r="K327" s="5">
        <f>IF(COUNTIFS($A$2:A327,A327,$E$2:E327,E327)=1,ROUNDUP(SUMIFS($G:$G,$A:$A,A327,$E:$E,E327)/I327,0),0)</f>
        <v>1</v>
      </c>
      <c r="L327" s="5">
        <f t="shared" si="34"/>
        <v>58.99</v>
      </c>
      <c r="M327" s="5">
        <f t="shared" si="35"/>
        <v>58.99</v>
      </c>
      <c r="N327" s="9"/>
    </row>
    <row r="328" spans="1:14" x14ac:dyDescent="0.2">
      <c r="A328" s="12" t="s">
        <v>58</v>
      </c>
      <c r="B328" s="12" t="s">
        <v>11</v>
      </c>
      <c r="C328" s="12" t="s">
        <v>840</v>
      </c>
      <c r="D328" s="12" t="s">
        <v>298</v>
      </c>
      <c r="E328" s="13" t="s">
        <v>404</v>
      </c>
      <c r="F328" s="14" t="str">
        <f>INDEX('Woolworths Products'!$B$2:$B$208,MATCH($E328,'Woolworths Products'!$A$2:$A$208,0))</f>
        <v>Red Onions 1 kg</v>
      </c>
      <c r="G328" s="15">
        <v>150</v>
      </c>
      <c r="H328" s="14" t="str">
        <f>INDEX('Woolworths Products'!$G$2:$G$208,MATCH($E328,'Woolworths Products'!$A$2:$A$208,0))</f>
        <v>g</v>
      </c>
      <c r="I328" s="14">
        <f>INDEX('Woolworths Products'!$F$2:$F$208,MATCH($E328,'Woolworths Products'!$A$2:$A$208,0))</f>
        <v>1000</v>
      </c>
      <c r="J328" s="14">
        <f>INDEX('Woolworths Products'!$E$2:$E$208,MATCH($E328,'Woolworths Products'!$A$2:$A$208,0))</f>
        <v>73.989999999999995</v>
      </c>
      <c r="K328" s="5">
        <f>IF(COUNTIFS($A$2:A328,A328,$E$2:E328,E328)=1,ROUNDUP(SUMIFS($G:$G,$A:$A,A328,$E:$E,E328)/I328,0),0)</f>
        <v>1</v>
      </c>
      <c r="L328" s="5">
        <f t="shared" si="34"/>
        <v>73.989999999999995</v>
      </c>
      <c r="M328" s="5">
        <f t="shared" si="35"/>
        <v>11.0985</v>
      </c>
      <c r="N328" s="9" t="s">
        <v>405</v>
      </c>
    </row>
    <row r="329" spans="1:14" x14ac:dyDescent="0.2">
      <c r="A329" s="12" t="s">
        <v>58</v>
      </c>
      <c r="B329" s="12" t="s">
        <v>11</v>
      </c>
      <c r="C329" s="12" t="s">
        <v>841</v>
      </c>
      <c r="D329" s="12" t="s">
        <v>298</v>
      </c>
      <c r="E329" s="13" t="s">
        <v>803</v>
      </c>
      <c r="F329" s="14" t="str">
        <f>INDEX('Woolworths Products'!$B$2:$B$208,MATCH($E329,'Woolworths Products'!$A$2:$A$208,0))</f>
        <v>Single Red Pepper</v>
      </c>
      <c r="G329" s="15">
        <v>1</v>
      </c>
      <c r="H329" s="14" t="str">
        <f>INDEX('Woolworths Products'!$G$2:$G$208,MATCH($E329,'Woolworths Products'!$A$2:$A$208,0))</f>
        <v>ea</v>
      </c>
      <c r="I329" s="14">
        <f>INDEX('Woolworths Products'!$F$2:$F$208,MATCH($E329,'Woolworths Products'!$A$2:$A$208,0))</f>
        <v>1</v>
      </c>
      <c r="J329" s="14">
        <f>INDEX('Woolworths Products'!$E$2:$E$208,MATCH($E329,'Woolworths Products'!$A$2:$A$208,0))</f>
        <v>19.989999999999998</v>
      </c>
      <c r="K329" s="5">
        <f>IF(COUNTIFS($A$2:A329,A329,$E$2:E329,E329)=1,ROUNDUP(SUMIFS($G:$G,$A:$A,A329,$E:$E,E329)/I329,0),0)</f>
        <v>1</v>
      </c>
      <c r="L329" s="5">
        <f t="shared" si="34"/>
        <v>19.989999999999998</v>
      </c>
      <c r="M329" s="5">
        <f t="shared" si="35"/>
        <v>19.989999999999998</v>
      </c>
      <c r="N329" s="9"/>
    </row>
    <row r="330" spans="1:14" x14ac:dyDescent="0.2">
      <c r="A330" s="16" t="s">
        <v>58</v>
      </c>
      <c r="B330" s="16" t="s">
        <v>11</v>
      </c>
      <c r="C330" s="16" t="s">
        <v>842</v>
      </c>
      <c r="D330" s="16" t="s">
        <v>396</v>
      </c>
      <c r="E330" s="17" t="s">
        <v>843</v>
      </c>
      <c r="F330" s="18" t="str">
        <f>INDEX('Woolworths Products'!$B$2:$B$208,MATCH($E330,'Woolworths Products'!$A$2:$A$208,0))</f>
        <v>Single Yellow Pepper</v>
      </c>
      <c r="G330" s="19">
        <v>1</v>
      </c>
      <c r="H330" s="18" t="str">
        <f>INDEX('Woolworths Products'!$G$2:$G$208,MATCH($E330,'Woolworths Products'!$A$2:$A$208,0))</f>
        <v>ea</v>
      </c>
      <c r="I330" s="18">
        <f>INDEX('Woolworths Products'!$F$2:$F$208,MATCH($E330,'Woolworths Products'!$A$2:$A$208,0))</f>
        <v>1</v>
      </c>
      <c r="J330" s="18">
        <f>INDEX('Woolworths Products'!$E$2:$E$208,MATCH($E330,'Woolworths Products'!$A$2:$A$208,0))</f>
        <v>19.989999999999998</v>
      </c>
      <c r="K330" s="20">
        <f>IF(COUNTIFS($A$2:A330,A330,$E$2:E330,E330)=1,ROUNDUP(SUMIFS($G:$G,$A:$A,A330,$E:$E,E330)/I330,0),0)</f>
        <v>1</v>
      </c>
      <c r="L330" s="20">
        <f t="shared" si="34"/>
        <v>19.989999999999998</v>
      </c>
      <c r="M330" s="20">
        <f t="shared" si="35"/>
        <v>19.989999999999998</v>
      </c>
      <c r="N330" s="21" t="s">
        <v>844</v>
      </c>
    </row>
    <row r="331" spans="1:14" x14ac:dyDescent="0.2">
      <c r="A331" s="12" t="s">
        <v>58</v>
      </c>
      <c r="B331" s="12" t="s">
        <v>11</v>
      </c>
      <c r="C331" s="12" t="s">
        <v>845</v>
      </c>
      <c r="D331" s="12" t="s">
        <v>298</v>
      </c>
      <c r="E331" s="13" t="s">
        <v>489</v>
      </c>
      <c r="F331" s="14" t="str">
        <f>INDEX('Woolworths Products'!$B$2:$B$208,MATCH($E331,'Woolworths Products'!$A$2:$A$208,0))</f>
        <v>Large Potatoes 2 kg</v>
      </c>
      <c r="G331" s="15">
        <v>600</v>
      </c>
      <c r="H331" s="14" t="str">
        <f>INDEX('Woolworths Products'!$G$2:$G$208,MATCH($E331,'Woolworths Products'!$A$2:$A$208,0))</f>
        <v>g</v>
      </c>
      <c r="I331" s="14">
        <f>INDEX('Woolworths Products'!$F$2:$F$208,MATCH($E331,'Woolworths Products'!$A$2:$A$208,0))</f>
        <v>2000</v>
      </c>
      <c r="J331" s="14">
        <f>INDEX('Woolworths Products'!$E$2:$E$208,MATCH($E331,'Woolworths Products'!$A$2:$A$208,0))</f>
        <v>48.99</v>
      </c>
      <c r="K331" s="5">
        <f>IF(COUNTIFS($A$2:A331,A331,$E$2:E331,E331)=1,ROUNDUP(SUMIFS($G:$G,$A:$A,A331,$E:$E,E331)/I331,0),0)</f>
        <v>1</v>
      </c>
      <c r="L331" s="5">
        <f t="shared" si="34"/>
        <v>48.99</v>
      </c>
      <c r="M331" s="5">
        <f t="shared" si="35"/>
        <v>14.696999999999999</v>
      </c>
      <c r="N331" s="9" t="s">
        <v>613</v>
      </c>
    </row>
    <row r="332" spans="1:14" x14ac:dyDescent="0.2">
      <c r="A332" s="12" t="s">
        <v>58</v>
      </c>
      <c r="B332" s="12" t="s">
        <v>11</v>
      </c>
      <c r="C332" s="12" t="s">
        <v>426</v>
      </c>
      <c r="D332" s="12" t="s">
        <v>298</v>
      </c>
      <c r="E332" s="13" t="s">
        <v>377</v>
      </c>
      <c r="F332" s="14" t="str">
        <f>INDEX('Woolworths Products'!$B$2:$B$208,MATCH($E332,'Woolworths Products'!$A$2:$A$208,0))</f>
        <v>Fresh Peeled Garlic 50 g</v>
      </c>
      <c r="G332" s="15">
        <v>2</v>
      </c>
      <c r="H332" s="14" t="str">
        <f>INDEX('Woolworths Products'!$G$2:$G$208,MATCH($E332,'Woolworths Products'!$A$2:$A$208,0))</f>
        <v>clove</v>
      </c>
      <c r="I332" s="14">
        <f>INDEX('Woolworths Products'!$F$2:$F$208,MATCH($E332,'Woolworths Products'!$A$2:$A$208,0))</f>
        <v>10</v>
      </c>
      <c r="J332" s="14">
        <f>INDEX('Woolworths Products'!$E$2:$E$208,MATCH($E332,'Woolworths Products'!$A$2:$A$208,0))</f>
        <v>29.99</v>
      </c>
      <c r="K332" s="5">
        <f>IF(COUNTIFS($A$2:A332,A332,$E$2:E332,E332)=1,ROUNDUP(SUMIFS($G:$G,$A:$A,A332,$E:$E,E332)/I332,0),0)</f>
        <v>1</v>
      </c>
      <c r="L332" s="5">
        <f t="shared" si="34"/>
        <v>29.99</v>
      </c>
      <c r="M332" s="5">
        <f t="shared" si="35"/>
        <v>5.9980000000000002</v>
      </c>
      <c r="N332" s="9" t="s">
        <v>378</v>
      </c>
    </row>
    <row r="333" spans="1:14" x14ac:dyDescent="0.2">
      <c r="A333" s="16" t="s">
        <v>58</v>
      </c>
      <c r="B333" s="16" t="s">
        <v>11</v>
      </c>
      <c r="C333" s="16" t="s">
        <v>846</v>
      </c>
      <c r="D333" s="16" t="s">
        <v>298</v>
      </c>
      <c r="E333" s="17" t="s">
        <v>330</v>
      </c>
      <c r="F333" s="18" t="str">
        <f>INDEX('Woolworths Products'!$B$2:$B$208,MATCH($E333,'Woolworths Products'!$A$2:$A$208,0))</f>
        <v>Prince Albert Extra Virgin Olive Oil 250 ml</v>
      </c>
      <c r="G333" s="19">
        <v>15</v>
      </c>
      <c r="H333" s="18" t="str">
        <f>INDEX('Woolworths Products'!$G$2:$G$208,MATCH($E333,'Woolworths Products'!$A$2:$A$208,0))</f>
        <v>ml</v>
      </c>
      <c r="I333" s="18">
        <f>INDEX('Woolworths Products'!$F$2:$F$208,MATCH($E333,'Woolworths Products'!$A$2:$A$208,0))</f>
        <v>250</v>
      </c>
      <c r="J333" s="18">
        <f>INDEX('Woolworths Products'!$E$2:$E$208,MATCH($E333,'Woolworths Products'!$A$2:$A$208,0))</f>
        <v>109.99</v>
      </c>
      <c r="K333" s="20">
        <f>IF(COUNTIFS($A$2:A333,A333,$E$2:E333,E333)=1,ROUNDUP(SUMIFS($G:$G,$A:$A,A333,$E:$E,E333)/I333,0),0)</f>
        <v>1</v>
      </c>
      <c r="L333" s="20">
        <f t="shared" si="34"/>
        <v>109.99</v>
      </c>
      <c r="M333" s="20">
        <f t="shared" si="35"/>
        <v>6.5993999999999993</v>
      </c>
      <c r="N333" s="21" t="s">
        <v>847</v>
      </c>
    </row>
    <row r="334" spans="1:14" x14ac:dyDescent="0.2">
      <c r="A334" s="12" t="s">
        <v>58</v>
      </c>
      <c r="B334" s="12" t="s">
        <v>11</v>
      </c>
      <c r="C334" s="12" t="s">
        <v>848</v>
      </c>
      <c r="D334" s="12" t="s">
        <v>298</v>
      </c>
      <c r="E334" s="13" t="s">
        <v>335</v>
      </c>
      <c r="F334" s="14" t="str">
        <f>INDEX('Woolworths Products'!$B$2:$B$208,MATCH($E334,'Woolworths Products'!$A$2:$A$208,0))</f>
        <v>Extra Virgin Olive Oil Spray 250 ml</v>
      </c>
      <c r="G334" s="15">
        <v>3</v>
      </c>
      <c r="H334" s="14" t="str">
        <f>INDEX('Woolworths Products'!$G$2:$G$208,MATCH($E334,'Woolworths Products'!$A$2:$A$208,0))</f>
        <v>ml</v>
      </c>
      <c r="I334" s="14">
        <f>INDEX('Woolworths Products'!$F$2:$F$208,MATCH($E334,'Woolworths Products'!$A$2:$A$208,0))</f>
        <v>250</v>
      </c>
      <c r="J334" s="14">
        <f>INDEX('Woolworths Products'!$E$2:$E$208,MATCH($E334,'Woolworths Products'!$A$2:$A$208,0))</f>
        <v>199.99</v>
      </c>
      <c r="K334" s="5">
        <f>IF(COUNTIFS($A$2:A334,A334,$E$2:E334,E334)=1,ROUNDUP(SUMIFS($G:$G,$A:$A,A334,$E:$E,E334)/I334,0),0)</f>
        <v>1</v>
      </c>
      <c r="L334" s="5">
        <f t="shared" si="34"/>
        <v>199.99</v>
      </c>
      <c r="M334" s="5">
        <f t="shared" si="35"/>
        <v>2.39988</v>
      </c>
      <c r="N334" s="9"/>
    </row>
    <row r="335" spans="1:14" x14ac:dyDescent="0.2">
      <c r="A335" s="13" t="s">
        <v>58</v>
      </c>
      <c r="B335" s="13" t="s">
        <v>11</v>
      </c>
      <c r="C335" s="13" t="s">
        <v>849</v>
      </c>
      <c r="D335" s="13" t="s">
        <v>349</v>
      </c>
      <c r="E335" s="13"/>
      <c r="L335" s="5">
        <v>0</v>
      </c>
      <c r="M335" s="5">
        <v>0</v>
      </c>
      <c r="N335" s="9" t="s">
        <v>422</v>
      </c>
    </row>
    <row r="336" spans="1:14" x14ac:dyDescent="0.2">
      <c r="A336" s="12" t="s">
        <v>58</v>
      </c>
      <c r="B336" s="12" t="s">
        <v>11</v>
      </c>
      <c r="C336" s="12" t="s">
        <v>494</v>
      </c>
      <c r="D336" s="12" t="s">
        <v>298</v>
      </c>
      <c r="E336" s="13" t="s">
        <v>495</v>
      </c>
      <c r="F336" s="14" t="str">
        <f>INDEX('Woolworths Products'!$B$2:$B$208,MATCH($E336,'Woolworths Products'!$A$2:$A$208,0))</f>
        <v>Fresh Thyme 20 g</v>
      </c>
      <c r="G336" s="15">
        <v>0.25</v>
      </c>
      <c r="H336" s="14" t="str">
        <f>INDEX('Woolworths Products'!$G$2:$G$208,MATCH($E336,'Woolworths Products'!$A$2:$A$208,0))</f>
        <v>punnet</v>
      </c>
      <c r="I336" s="14">
        <f>INDEX('Woolworths Products'!$F$2:$F$208,MATCH($E336,'Woolworths Products'!$A$2:$A$208,0))</f>
        <v>1</v>
      </c>
      <c r="J336" s="14">
        <f>INDEX('Woolworths Products'!$E$2:$E$208,MATCH($E336,'Woolworths Products'!$A$2:$A$208,0))</f>
        <v>15.99</v>
      </c>
      <c r="K336" s="5">
        <f>IF(COUNTIFS($A$2:A336,A336,$E$2:E336,E336)=1,ROUNDUP(SUMIFS($G:$G,$A:$A,A336,$E:$E,E336)/I336,0),0)</f>
        <v>1</v>
      </c>
      <c r="L336" s="5">
        <f t="shared" ref="L336:L350" si="36">K336*J336</f>
        <v>15.99</v>
      </c>
      <c r="M336" s="5">
        <f t="shared" ref="M336:M350" si="37">G336/I336*J336</f>
        <v>3.9975000000000001</v>
      </c>
      <c r="N336" s="9"/>
    </row>
    <row r="337" spans="1:14" x14ac:dyDescent="0.2">
      <c r="A337" s="12" t="s">
        <v>58</v>
      </c>
      <c r="B337" s="12" t="s">
        <v>11</v>
      </c>
      <c r="C337" s="12" t="s">
        <v>850</v>
      </c>
      <c r="D337" s="12" t="s">
        <v>298</v>
      </c>
      <c r="E337" s="13" t="s">
        <v>323</v>
      </c>
      <c r="F337" s="14" t="str">
        <f>INDEX('Woolworths Products'!$B$2:$B$208,MATCH($E337,'Woolworths Products'!$A$2:$A$208,0))</f>
        <v>Lemons 3 pk</v>
      </c>
      <c r="G337" s="15">
        <v>1</v>
      </c>
      <c r="H337" s="14" t="str">
        <f>INDEX('Woolworths Products'!$G$2:$G$208,MATCH($E337,'Woolworths Products'!$A$2:$A$208,0))</f>
        <v>ea</v>
      </c>
      <c r="I337" s="14">
        <f>INDEX('Woolworths Products'!$F$2:$F$208,MATCH($E337,'Woolworths Products'!$A$2:$A$208,0))</f>
        <v>3</v>
      </c>
      <c r="J337" s="14">
        <f>INDEX('Woolworths Products'!$E$2:$E$208,MATCH($E337,'Woolworths Products'!$A$2:$A$208,0))</f>
        <v>27.99</v>
      </c>
      <c r="K337" s="5">
        <f>IF(COUNTIFS($A$2:A337,A337,$E$2:E337,E337)=1,ROUNDUP(SUMIFS($G:$G,$A:$A,A337,$E:$E,E337)/I337,0),0)</f>
        <v>1</v>
      </c>
      <c r="L337" s="5">
        <f t="shared" si="36"/>
        <v>27.99</v>
      </c>
      <c r="M337" s="5">
        <f t="shared" si="37"/>
        <v>9.3299999999999983</v>
      </c>
      <c r="N337" s="9"/>
    </row>
    <row r="338" spans="1:14" x14ac:dyDescent="0.2">
      <c r="A338" s="16" t="s">
        <v>58</v>
      </c>
      <c r="B338" s="16" t="s">
        <v>11</v>
      </c>
      <c r="C338" s="16" t="s">
        <v>851</v>
      </c>
      <c r="D338" s="16" t="s">
        <v>298</v>
      </c>
      <c r="E338" s="17" t="s">
        <v>618</v>
      </c>
      <c r="F338" s="18" t="str">
        <f>INDEX('Woolworths Products'!$B$2:$B$208,MATCH($E338,'Woolworths Products'!$A$2:$A$208,0))</f>
        <v>Pork Sizzlers 6 pk</v>
      </c>
      <c r="G338" s="19">
        <v>1</v>
      </c>
      <c r="H338" s="18" t="str">
        <f>INDEX('Woolworths Products'!$G$2:$G$208,MATCH($E338,'Woolworths Products'!$A$2:$A$208,0))</f>
        <v>ea</v>
      </c>
      <c r="I338" s="18">
        <f>INDEX('Woolworths Products'!$F$2:$F$208,MATCH($E338,'Woolworths Products'!$A$2:$A$208,0))</f>
        <v>1</v>
      </c>
      <c r="J338" s="18">
        <f>INDEX('Woolworths Products'!$E$2:$E$208,MATCH($E338,'Woolworths Products'!$A$2:$A$208,0))</f>
        <v>49.99</v>
      </c>
      <c r="K338" s="20">
        <f>IF(COUNTIFS($A$2:A338,A338,$E$2:E338,E338)=1,ROUNDUP(SUMIFS($G:$G,$A:$A,A338,$E:$E,E338)/I338,0),0)</f>
        <v>1</v>
      </c>
      <c r="L338" s="20">
        <f t="shared" si="36"/>
        <v>49.99</v>
      </c>
      <c r="M338" s="20">
        <f t="shared" si="37"/>
        <v>49.99</v>
      </c>
      <c r="N338" s="21" t="s">
        <v>852</v>
      </c>
    </row>
    <row r="339" spans="1:14" x14ac:dyDescent="0.2">
      <c r="A339" s="12" t="s">
        <v>58</v>
      </c>
      <c r="B339" s="12" t="s">
        <v>11</v>
      </c>
      <c r="C339" s="12" t="s">
        <v>853</v>
      </c>
      <c r="D339" s="12" t="s">
        <v>298</v>
      </c>
      <c r="E339" s="13" t="s">
        <v>486</v>
      </c>
      <c r="F339" s="14" t="str">
        <f>INDEX('Woolworths Products'!$B$2:$B$208,MATCH($E339,'Woolworths Products'!$A$2:$A$208,0))</f>
        <v>Fresh Basil 30 g</v>
      </c>
      <c r="G339" s="15">
        <v>0.25</v>
      </c>
      <c r="H339" s="14" t="str">
        <f>INDEX('Woolworths Products'!$G$2:$G$208,MATCH($E339,'Woolworths Products'!$A$2:$A$208,0))</f>
        <v>punnet</v>
      </c>
      <c r="I339" s="14">
        <f>INDEX('Woolworths Products'!$F$2:$F$208,MATCH($E339,'Woolworths Products'!$A$2:$A$208,0))</f>
        <v>1</v>
      </c>
      <c r="J339" s="14">
        <f>INDEX('Woolworths Products'!$E$2:$E$208,MATCH($E339,'Woolworths Products'!$A$2:$A$208,0))</f>
        <v>15.99</v>
      </c>
      <c r="K339" s="5">
        <f>IF(COUNTIFS($A$2:A339,A339,$E$2:E339,E339)=1,ROUNDUP(SUMIFS($G:$G,$A:$A,A339,$E:$E,E339)/I339,0),0)</f>
        <v>1</v>
      </c>
      <c r="L339" s="5">
        <f t="shared" si="36"/>
        <v>15.99</v>
      </c>
      <c r="M339" s="5">
        <f t="shared" si="37"/>
        <v>3.9975000000000001</v>
      </c>
      <c r="N339" s="9"/>
    </row>
    <row r="340" spans="1:14" x14ac:dyDescent="0.2">
      <c r="A340" s="16" t="s">
        <v>59</v>
      </c>
      <c r="B340" s="16" t="s">
        <v>14</v>
      </c>
      <c r="C340" s="16" t="s">
        <v>854</v>
      </c>
      <c r="D340" s="16" t="s">
        <v>298</v>
      </c>
      <c r="E340" s="17" t="s">
        <v>855</v>
      </c>
      <c r="F340" s="18" t="str">
        <f>INDEX('Woolworths Products'!$B$2:$B$208,MATCH($E340,'Woolworths Products'!$A$2:$A$208,0))</f>
        <v>Beetroot Min 500 g</v>
      </c>
      <c r="G340" s="19">
        <v>500</v>
      </c>
      <c r="H340" s="18" t="str">
        <f>INDEX('Woolworths Products'!$G$2:$G$208,MATCH($E340,'Woolworths Products'!$A$2:$A$208,0))</f>
        <v>g</v>
      </c>
      <c r="I340" s="18">
        <f>INDEX('Woolworths Products'!$F$2:$F$208,MATCH($E340,'Woolworths Products'!$A$2:$A$208,0))</f>
        <v>500</v>
      </c>
      <c r="J340" s="18">
        <f>INDEX('Woolworths Products'!$E$2:$E$208,MATCH($E340,'Woolworths Products'!$A$2:$A$208,0))</f>
        <v>26.99</v>
      </c>
      <c r="K340" s="20">
        <f>IF(COUNTIFS($A$2:A340,A340,$E$2:E340,E340)=1,ROUNDUP(SUMIFS($G:$G,$A:$A,A340,$E:$E,E340)/I340,0),0)</f>
        <v>1</v>
      </c>
      <c r="L340" s="20">
        <f t="shared" si="36"/>
        <v>26.99</v>
      </c>
      <c r="M340" s="20">
        <f t="shared" si="37"/>
        <v>26.99</v>
      </c>
      <c r="N340" s="21" t="s">
        <v>856</v>
      </c>
    </row>
    <row r="341" spans="1:14" x14ac:dyDescent="0.2">
      <c r="A341" s="16" t="s">
        <v>59</v>
      </c>
      <c r="B341" s="16" t="s">
        <v>14</v>
      </c>
      <c r="C341" s="16" t="s">
        <v>648</v>
      </c>
      <c r="D341" s="16" t="s">
        <v>298</v>
      </c>
      <c r="E341" s="17" t="s">
        <v>330</v>
      </c>
      <c r="F341" s="18" t="str">
        <f>INDEX('Woolworths Products'!$B$2:$B$208,MATCH($E341,'Woolworths Products'!$A$2:$A$208,0))</f>
        <v>Prince Albert Extra Virgin Olive Oil 250 ml</v>
      </c>
      <c r="G341" s="19">
        <v>15</v>
      </c>
      <c r="H341" s="18" t="str">
        <f>INDEX('Woolworths Products'!$G$2:$G$208,MATCH($E341,'Woolworths Products'!$A$2:$A$208,0))</f>
        <v>ml</v>
      </c>
      <c r="I341" s="18">
        <f>INDEX('Woolworths Products'!$F$2:$F$208,MATCH($E341,'Woolworths Products'!$A$2:$A$208,0))</f>
        <v>250</v>
      </c>
      <c r="J341" s="18">
        <f>INDEX('Woolworths Products'!$E$2:$E$208,MATCH($E341,'Woolworths Products'!$A$2:$A$208,0))</f>
        <v>109.99</v>
      </c>
      <c r="K341" s="20">
        <f>IF(COUNTIFS($A$2:A341,A341,$E$2:E341,E341)=1,ROUNDUP(SUMIFS($G:$G,$A:$A,A341,$E:$E,E341)/I341,0),0)</f>
        <v>1</v>
      </c>
      <c r="L341" s="20">
        <f t="shared" si="36"/>
        <v>109.99</v>
      </c>
      <c r="M341" s="20">
        <f t="shared" si="37"/>
        <v>6.5993999999999993</v>
      </c>
      <c r="N341" s="21" t="s">
        <v>326</v>
      </c>
    </row>
    <row r="342" spans="1:14" x14ac:dyDescent="0.2">
      <c r="A342" s="12" t="s">
        <v>59</v>
      </c>
      <c r="B342" s="12" t="s">
        <v>14</v>
      </c>
      <c r="C342" s="12" t="s">
        <v>494</v>
      </c>
      <c r="D342" s="12" t="s">
        <v>298</v>
      </c>
      <c r="E342" s="13" t="s">
        <v>495</v>
      </c>
      <c r="F342" s="14" t="str">
        <f>INDEX('Woolworths Products'!$B$2:$B$208,MATCH($E342,'Woolworths Products'!$A$2:$A$208,0))</f>
        <v>Fresh Thyme 20 g</v>
      </c>
      <c r="G342" s="15">
        <v>0.25</v>
      </c>
      <c r="H342" s="14" t="str">
        <f>INDEX('Woolworths Products'!$G$2:$G$208,MATCH($E342,'Woolworths Products'!$A$2:$A$208,0))</f>
        <v>punnet</v>
      </c>
      <c r="I342" s="14">
        <f>INDEX('Woolworths Products'!$F$2:$F$208,MATCH($E342,'Woolworths Products'!$A$2:$A$208,0))</f>
        <v>1</v>
      </c>
      <c r="J342" s="14">
        <f>INDEX('Woolworths Products'!$E$2:$E$208,MATCH($E342,'Woolworths Products'!$A$2:$A$208,0))</f>
        <v>15.99</v>
      </c>
      <c r="K342" s="5">
        <f>IF(COUNTIFS($A$2:A342,A342,$E$2:E342,E342)=1,ROUNDUP(SUMIFS($G:$G,$A:$A,A342,$E:$E,E342)/I342,0),0)</f>
        <v>1</v>
      </c>
      <c r="L342" s="5">
        <f t="shared" si="36"/>
        <v>15.99</v>
      </c>
      <c r="M342" s="5">
        <f t="shared" si="37"/>
        <v>3.9975000000000001</v>
      </c>
      <c r="N342" s="9"/>
    </row>
    <row r="343" spans="1:14" x14ac:dyDescent="0.2">
      <c r="A343" s="12" t="s">
        <v>59</v>
      </c>
      <c r="B343" s="12" t="s">
        <v>14</v>
      </c>
      <c r="C343" s="12" t="s">
        <v>857</v>
      </c>
      <c r="D343" s="12" t="s">
        <v>298</v>
      </c>
      <c r="E343" s="13" t="s">
        <v>441</v>
      </c>
      <c r="F343" s="14" t="str">
        <f>INDEX('Woolworths Products'!$B$2:$B$208,MATCH($E343,'Woolworths Products'!$A$2:$A$208,0))</f>
        <v>Baby Spinach 200 g</v>
      </c>
      <c r="G343" s="15">
        <v>90</v>
      </c>
      <c r="H343" s="14" t="str">
        <f>INDEX('Woolworths Products'!$G$2:$G$208,MATCH($E343,'Woolworths Products'!$A$2:$A$208,0))</f>
        <v>g</v>
      </c>
      <c r="I343" s="14">
        <f>INDEX('Woolworths Products'!$F$2:$F$208,MATCH($E343,'Woolworths Products'!$A$2:$A$208,0))</f>
        <v>200</v>
      </c>
      <c r="J343" s="14">
        <f>INDEX('Woolworths Products'!$E$2:$E$208,MATCH($E343,'Woolworths Products'!$A$2:$A$208,0))</f>
        <v>35.99</v>
      </c>
      <c r="K343" s="5">
        <f>IF(COUNTIFS($A$2:A343,A343,$E$2:E343,E343)=1,ROUNDUP(SUMIFS($G:$G,$A:$A,A343,$E:$E,E343)/I343,0),0)</f>
        <v>1</v>
      </c>
      <c r="L343" s="5">
        <f t="shared" si="36"/>
        <v>35.99</v>
      </c>
      <c r="M343" s="5">
        <f t="shared" si="37"/>
        <v>16.195500000000003</v>
      </c>
      <c r="N343" s="9"/>
    </row>
    <row r="344" spans="1:14" x14ac:dyDescent="0.2">
      <c r="A344" s="12" t="s">
        <v>59</v>
      </c>
      <c r="B344" s="12" t="s">
        <v>14</v>
      </c>
      <c r="C344" s="12" t="s">
        <v>858</v>
      </c>
      <c r="D344" s="12" t="s">
        <v>298</v>
      </c>
      <c r="E344" s="13" t="s">
        <v>374</v>
      </c>
      <c r="F344" s="14" t="str">
        <f>INDEX('Woolworths Products'!$B$2:$B$208,MATCH($E344,'Woolworths Products'!$A$2:$A$208,0))</f>
        <v>Granny Smith Apples 4 pk</v>
      </c>
      <c r="G344" s="15">
        <v>1</v>
      </c>
      <c r="H344" s="14" t="str">
        <f>INDEX('Woolworths Products'!$G$2:$G$208,MATCH($E344,'Woolworths Products'!$A$2:$A$208,0))</f>
        <v>ea</v>
      </c>
      <c r="I344" s="14">
        <f>INDEX('Woolworths Products'!$F$2:$F$208,MATCH($E344,'Woolworths Products'!$A$2:$A$208,0))</f>
        <v>4</v>
      </c>
      <c r="J344" s="14">
        <f>INDEX('Woolworths Products'!$E$2:$E$208,MATCH($E344,'Woolworths Products'!$A$2:$A$208,0))</f>
        <v>28.99</v>
      </c>
      <c r="K344" s="5">
        <f>IF(COUNTIFS($A$2:A344,A344,$E$2:E344,E344)=1,ROUNDUP(SUMIFS($G:$G,$A:$A,A344,$E:$E,E344)/I344,0),0)</f>
        <v>1</v>
      </c>
      <c r="L344" s="5">
        <f t="shared" si="36"/>
        <v>28.99</v>
      </c>
      <c r="M344" s="5">
        <f t="shared" si="37"/>
        <v>7.2474999999999996</v>
      </c>
      <c r="N344" s="9"/>
    </row>
    <row r="345" spans="1:14" x14ac:dyDescent="0.2">
      <c r="A345" s="12" t="s">
        <v>59</v>
      </c>
      <c r="B345" s="12" t="s">
        <v>14</v>
      </c>
      <c r="C345" s="12" t="s">
        <v>859</v>
      </c>
      <c r="D345" s="12" t="s">
        <v>298</v>
      </c>
      <c r="E345" s="13" t="s">
        <v>860</v>
      </c>
      <c r="F345" s="14" t="str">
        <f>INDEX('Woolworths Products'!$B$2:$B$208,MATCH($E345,'Woolworths Products'!$A$2:$A$208,0))</f>
        <v>Chevin Goat's Full Fat Cheese 100 g</v>
      </c>
      <c r="G345" s="15">
        <v>100</v>
      </c>
      <c r="H345" s="14" t="str">
        <f>INDEX('Woolworths Products'!$G$2:$G$208,MATCH($E345,'Woolworths Products'!$A$2:$A$208,0))</f>
        <v>g</v>
      </c>
      <c r="I345" s="14">
        <f>INDEX('Woolworths Products'!$F$2:$F$208,MATCH($E345,'Woolworths Products'!$A$2:$A$208,0))</f>
        <v>100</v>
      </c>
      <c r="J345" s="14">
        <f>INDEX('Woolworths Products'!$E$2:$E$208,MATCH($E345,'Woolworths Products'!$A$2:$A$208,0))</f>
        <v>62.99</v>
      </c>
      <c r="K345" s="5">
        <f>IF(COUNTIFS($A$2:A345,A345,$E$2:E345,E345)=1,ROUNDUP(SUMIFS($G:$G,$A:$A,A345,$E:$E,E345)/I345,0),0)</f>
        <v>1</v>
      </c>
      <c r="L345" s="5">
        <f t="shared" si="36"/>
        <v>62.99</v>
      </c>
      <c r="M345" s="5">
        <f t="shared" si="37"/>
        <v>62.99</v>
      </c>
      <c r="N345" s="9"/>
    </row>
    <row r="346" spans="1:14" x14ac:dyDescent="0.2">
      <c r="A346" s="12" t="s">
        <v>59</v>
      </c>
      <c r="B346" s="12" t="s">
        <v>14</v>
      </c>
      <c r="C346" s="12" t="s">
        <v>861</v>
      </c>
      <c r="D346" s="12" t="s">
        <v>298</v>
      </c>
      <c r="E346" s="13" t="s">
        <v>862</v>
      </c>
      <c r="F346" s="14" t="str">
        <f>INDEX('Woolworths Products'!$B$2:$B$208,MATCH($E346,'Woolworths Products'!$A$2:$A$208,0))</f>
        <v>Raw Shelled Pistachios 100 g</v>
      </c>
      <c r="G346" s="15">
        <v>50</v>
      </c>
      <c r="H346" s="14" t="str">
        <f>INDEX('Woolworths Products'!$G$2:$G$208,MATCH($E346,'Woolworths Products'!$A$2:$A$208,0))</f>
        <v>g</v>
      </c>
      <c r="I346" s="14">
        <f>INDEX('Woolworths Products'!$F$2:$F$208,MATCH($E346,'Woolworths Products'!$A$2:$A$208,0))</f>
        <v>100</v>
      </c>
      <c r="J346" s="14">
        <f>INDEX('Woolworths Products'!$E$2:$E$208,MATCH($E346,'Woolworths Products'!$A$2:$A$208,0))</f>
        <v>148.99</v>
      </c>
      <c r="K346" s="5">
        <f>IF(COUNTIFS($A$2:A346,A346,$E$2:E346,E346)=1,ROUNDUP(SUMIFS($G:$G,$A:$A,A346,$E:$E,E346)/I346,0),0)</f>
        <v>1</v>
      </c>
      <c r="L346" s="5">
        <f t="shared" si="36"/>
        <v>148.99</v>
      </c>
      <c r="M346" s="5">
        <f t="shared" si="37"/>
        <v>74.495000000000005</v>
      </c>
      <c r="N346" s="9"/>
    </row>
    <row r="347" spans="1:14" x14ac:dyDescent="0.2">
      <c r="A347" s="12" t="s">
        <v>59</v>
      </c>
      <c r="B347" s="12" t="s">
        <v>14</v>
      </c>
      <c r="C347" s="12" t="s">
        <v>863</v>
      </c>
      <c r="D347" s="12" t="s">
        <v>298</v>
      </c>
      <c r="E347" s="13" t="s">
        <v>330</v>
      </c>
      <c r="F347" s="14" t="str">
        <f>INDEX('Woolworths Products'!$B$2:$B$208,MATCH($E347,'Woolworths Products'!$A$2:$A$208,0))</f>
        <v>Prince Albert Extra Virgin Olive Oil 250 ml</v>
      </c>
      <c r="G347" s="15">
        <v>62.5</v>
      </c>
      <c r="H347" s="14" t="str">
        <f>INDEX('Woolworths Products'!$G$2:$G$208,MATCH($E347,'Woolworths Products'!$A$2:$A$208,0))</f>
        <v>ml</v>
      </c>
      <c r="I347" s="14">
        <f>INDEX('Woolworths Products'!$F$2:$F$208,MATCH($E347,'Woolworths Products'!$A$2:$A$208,0))</f>
        <v>250</v>
      </c>
      <c r="J347" s="14">
        <f>INDEX('Woolworths Products'!$E$2:$E$208,MATCH($E347,'Woolworths Products'!$A$2:$A$208,0))</f>
        <v>109.99</v>
      </c>
      <c r="K347" s="5">
        <f>IF(COUNTIFS($A$2:A347,A347,$E$2:E347,E347)=1,ROUNDUP(SUMIFS($G:$G,$A:$A,A347,$E:$E,E347)/I347,0),0)</f>
        <v>0</v>
      </c>
      <c r="L347" s="5">
        <f t="shared" si="36"/>
        <v>0</v>
      </c>
      <c r="M347" s="5">
        <f t="shared" si="37"/>
        <v>27.497499999999999</v>
      </c>
      <c r="N347" s="9"/>
    </row>
    <row r="348" spans="1:14" x14ac:dyDescent="0.2">
      <c r="A348" s="12" t="s">
        <v>59</v>
      </c>
      <c r="B348" s="12" t="s">
        <v>14</v>
      </c>
      <c r="C348" s="12" t="s">
        <v>864</v>
      </c>
      <c r="D348" s="12" t="s">
        <v>298</v>
      </c>
      <c r="E348" s="13" t="s">
        <v>811</v>
      </c>
      <c r="F348" s="14" t="str">
        <f>INDEX('Woolworths Products'!$B$2:$B$208,MATCH($E348,'Woolworths Products'!$A$2:$A$208,0))</f>
        <v>Willow Creek Cabernet Sauvignon Balsamic Vinegar 250 ml</v>
      </c>
      <c r="G348" s="15">
        <v>62.5</v>
      </c>
      <c r="H348" s="14" t="str">
        <f>INDEX('Woolworths Products'!$G$2:$G$208,MATCH($E348,'Woolworths Products'!$A$2:$A$208,0))</f>
        <v>ml</v>
      </c>
      <c r="I348" s="14">
        <f>INDEX('Woolworths Products'!$F$2:$F$208,MATCH($E348,'Woolworths Products'!$A$2:$A$208,0))</f>
        <v>250</v>
      </c>
      <c r="J348" s="14">
        <f>INDEX('Woolworths Products'!$E$2:$E$208,MATCH($E348,'Woolworths Products'!$A$2:$A$208,0))</f>
        <v>59.99</v>
      </c>
      <c r="K348" s="5">
        <f>IF(COUNTIFS($A$2:A348,A348,$E$2:E348,E348)=1,ROUNDUP(SUMIFS($G:$G,$A:$A,A348,$E:$E,E348)/I348,0),0)</f>
        <v>1</v>
      </c>
      <c r="L348" s="5">
        <f t="shared" si="36"/>
        <v>59.99</v>
      </c>
      <c r="M348" s="5">
        <f t="shared" si="37"/>
        <v>14.9975</v>
      </c>
      <c r="N348" s="9"/>
    </row>
    <row r="349" spans="1:14" x14ac:dyDescent="0.2">
      <c r="A349" s="12" t="s">
        <v>59</v>
      </c>
      <c r="B349" s="12" t="s">
        <v>14</v>
      </c>
      <c r="C349" s="12" t="s">
        <v>865</v>
      </c>
      <c r="D349" s="12" t="s">
        <v>298</v>
      </c>
      <c r="E349" s="13" t="s">
        <v>620</v>
      </c>
      <c r="F349" s="14" t="str">
        <f>INDEX('Woolworths Products'!$B$2:$B$208,MATCH($E349,'Woolworths Products'!$A$2:$A$208,0))</f>
        <v>Dijon Mustard 235 g</v>
      </c>
      <c r="G349" s="15">
        <v>5</v>
      </c>
      <c r="H349" s="14" t="str">
        <f>INDEX('Woolworths Products'!$G$2:$G$208,MATCH($E349,'Woolworths Products'!$A$2:$A$208,0))</f>
        <v>g</v>
      </c>
      <c r="I349" s="14">
        <f>INDEX('Woolworths Products'!$F$2:$F$208,MATCH($E349,'Woolworths Products'!$A$2:$A$208,0))</f>
        <v>235</v>
      </c>
      <c r="J349" s="14">
        <f>INDEX('Woolworths Products'!$E$2:$E$208,MATCH($E349,'Woolworths Products'!$A$2:$A$208,0))</f>
        <v>51.99</v>
      </c>
      <c r="K349" s="5">
        <f>IF(COUNTIFS($A$2:A349,A349,$E$2:E349,E349)=1,ROUNDUP(SUMIFS($G:$G,$A:$A,A349,$E:$E,E349)/I349,0),0)</f>
        <v>1</v>
      </c>
      <c r="L349" s="5">
        <f t="shared" si="36"/>
        <v>51.99</v>
      </c>
      <c r="M349" s="5">
        <f t="shared" si="37"/>
        <v>1.1061702127659574</v>
      </c>
      <c r="N349" s="9"/>
    </row>
    <row r="350" spans="1:14" x14ac:dyDescent="0.2">
      <c r="A350" s="12" t="s">
        <v>59</v>
      </c>
      <c r="B350" s="12" t="s">
        <v>14</v>
      </c>
      <c r="C350" s="12" t="s">
        <v>866</v>
      </c>
      <c r="D350" s="12" t="s">
        <v>298</v>
      </c>
      <c r="E350" s="13" t="s">
        <v>737</v>
      </c>
      <c r="F350" s="14" t="str">
        <f>INDEX('Woolworths Products'!$B$2:$B$208,MATCH($E350,'Woolworths Products'!$A$2:$A$208,0))</f>
        <v>Fynbos Honey 250 g</v>
      </c>
      <c r="G350" s="15">
        <v>7</v>
      </c>
      <c r="H350" s="14" t="str">
        <f>INDEX('Woolworths Products'!$G$2:$G$208,MATCH($E350,'Woolworths Products'!$A$2:$A$208,0))</f>
        <v>g</v>
      </c>
      <c r="I350" s="14">
        <f>INDEX('Woolworths Products'!$F$2:$F$208,MATCH($E350,'Woolworths Products'!$A$2:$A$208,0))</f>
        <v>250</v>
      </c>
      <c r="J350" s="14">
        <f>INDEX('Woolworths Products'!$E$2:$E$208,MATCH($E350,'Woolworths Products'!$A$2:$A$208,0))</f>
        <v>71.989999999999995</v>
      </c>
      <c r="K350" s="5">
        <f>IF(COUNTIFS($A$2:A350,A350,$E$2:E350,E350)=1,ROUNDUP(SUMIFS($G:$G,$A:$A,A350,$E:$E,E350)/I350,0),0)</f>
        <v>1</v>
      </c>
      <c r="L350" s="5">
        <f t="shared" si="36"/>
        <v>71.989999999999995</v>
      </c>
      <c r="M350" s="5">
        <f t="shared" si="37"/>
        <v>2.01572</v>
      </c>
      <c r="N350" s="9"/>
    </row>
    <row r="351" spans="1:14" x14ac:dyDescent="0.2">
      <c r="A351" s="13" t="s">
        <v>59</v>
      </c>
      <c r="B351" s="13" t="s">
        <v>14</v>
      </c>
      <c r="C351" s="13" t="s">
        <v>422</v>
      </c>
      <c r="D351" s="13" t="s">
        <v>349</v>
      </c>
      <c r="E351" s="13"/>
      <c r="L351" s="5">
        <v>0</v>
      </c>
      <c r="M351" s="5">
        <v>0</v>
      </c>
      <c r="N351" s="9" t="s">
        <v>422</v>
      </c>
    </row>
    <row r="352" spans="1:14" x14ac:dyDescent="0.2">
      <c r="A352" s="12" t="s">
        <v>59</v>
      </c>
      <c r="B352" s="12" t="s">
        <v>14</v>
      </c>
      <c r="C352" s="12" t="s">
        <v>867</v>
      </c>
      <c r="D352" s="12" t="s">
        <v>298</v>
      </c>
      <c r="E352" s="13" t="s">
        <v>672</v>
      </c>
      <c r="F352" s="14" t="str">
        <f>INDEX('Woolworths Products'!$B$2:$B$208,MATCH($E352,'Woolworths Products'!$A$2:$A$208,0))</f>
        <v>Fresh Mint 20 g</v>
      </c>
      <c r="G352" s="15">
        <v>0.25</v>
      </c>
      <c r="H352" s="14" t="str">
        <f>INDEX('Woolworths Products'!$G$2:$G$208,MATCH($E352,'Woolworths Products'!$A$2:$A$208,0))</f>
        <v>punnet</v>
      </c>
      <c r="I352" s="14">
        <f>INDEX('Woolworths Products'!$F$2:$F$208,MATCH($E352,'Woolworths Products'!$A$2:$A$208,0))</f>
        <v>1</v>
      </c>
      <c r="J352" s="14">
        <f>INDEX('Woolworths Products'!$E$2:$E$208,MATCH($E352,'Woolworths Products'!$A$2:$A$208,0))</f>
        <v>15.99</v>
      </c>
      <c r="K352" s="5">
        <f>IF(COUNTIFS($A$2:A352,A352,$E$2:E352,E352)=1,ROUNDUP(SUMIFS($G:$G,$A:$A,A352,$E:$E,E352)/I352,0),0)</f>
        <v>1</v>
      </c>
      <c r="L352" s="5">
        <f>K352*J352</f>
        <v>15.99</v>
      </c>
      <c r="M352" s="5">
        <f>G352/I352*J352</f>
        <v>3.9975000000000001</v>
      </c>
      <c r="N352" s="9"/>
    </row>
    <row r="353" spans="1:14" x14ac:dyDescent="0.2">
      <c r="A353" s="22" t="s">
        <v>60</v>
      </c>
      <c r="B353" s="22" t="s">
        <v>22</v>
      </c>
      <c r="C353" s="22" t="s">
        <v>868</v>
      </c>
      <c r="D353" s="22" t="s">
        <v>7</v>
      </c>
      <c r="E353" s="23"/>
      <c r="F353" s="24"/>
      <c r="G353" s="24"/>
      <c r="H353" s="24"/>
      <c r="I353" s="24"/>
      <c r="J353" s="24"/>
      <c r="K353" s="24"/>
      <c r="L353" s="25">
        <v>0</v>
      </c>
      <c r="M353" s="25">
        <v>0</v>
      </c>
      <c r="N353" s="26" t="s">
        <v>869</v>
      </c>
    </row>
    <row r="354" spans="1:14" x14ac:dyDescent="0.2">
      <c r="A354" s="12" t="s">
        <v>60</v>
      </c>
      <c r="B354" s="12" t="s">
        <v>22</v>
      </c>
      <c r="C354" s="12" t="s">
        <v>870</v>
      </c>
      <c r="D354" s="12" t="s">
        <v>298</v>
      </c>
      <c r="E354" s="13" t="s">
        <v>733</v>
      </c>
      <c r="F354" s="14" t="str">
        <f>INDEX('Woolworths Products'!$B$2:$B$208,MATCH($E354,'Woolworths Products'!$A$2:$A$208,0))</f>
        <v>Golden Delicious Apples 4 pk</v>
      </c>
      <c r="G354" s="15">
        <v>1</v>
      </c>
      <c r="H354" s="14" t="str">
        <f>INDEX('Woolworths Products'!$G$2:$G$208,MATCH($E354,'Woolworths Products'!$A$2:$A$208,0))</f>
        <v>ea</v>
      </c>
      <c r="I354" s="14">
        <f>INDEX('Woolworths Products'!$F$2:$F$208,MATCH($E354,'Woolworths Products'!$A$2:$A$208,0))</f>
        <v>4</v>
      </c>
      <c r="J354" s="14">
        <f>INDEX('Woolworths Products'!$E$2:$E$208,MATCH($E354,'Woolworths Products'!$A$2:$A$208,0))</f>
        <v>27.99</v>
      </c>
      <c r="K354" s="5">
        <f>IF(COUNTIFS($A$2:A354,A354,$E$2:E354,E354)=1,ROUNDUP(SUMIFS($G:$G,$A:$A,A354,$E:$E,E354)/I354,0),0)</f>
        <v>1</v>
      </c>
      <c r="L354" s="5">
        <f>K354*J354</f>
        <v>27.99</v>
      </c>
      <c r="M354" s="5">
        <f>G354/I354*J354</f>
        <v>6.9974999999999996</v>
      </c>
      <c r="N354" s="9"/>
    </row>
    <row r="355" spans="1:14" x14ac:dyDescent="0.2">
      <c r="A355" s="12" t="s">
        <v>60</v>
      </c>
      <c r="B355" s="12" t="s">
        <v>22</v>
      </c>
      <c r="C355" s="12" t="s">
        <v>871</v>
      </c>
      <c r="D355" s="12" t="s">
        <v>298</v>
      </c>
      <c r="E355" s="13" t="s">
        <v>404</v>
      </c>
      <c r="F355" s="14" t="str">
        <f>INDEX('Woolworths Products'!$B$2:$B$208,MATCH($E355,'Woolworths Products'!$A$2:$A$208,0))</f>
        <v>Red Onions 1 kg</v>
      </c>
      <c r="G355" s="15">
        <v>200</v>
      </c>
      <c r="H355" s="14" t="str">
        <f>INDEX('Woolworths Products'!$G$2:$G$208,MATCH($E355,'Woolworths Products'!$A$2:$A$208,0))</f>
        <v>g</v>
      </c>
      <c r="I355" s="14">
        <f>INDEX('Woolworths Products'!$F$2:$F$208,MATCH($E355,'Woolworths Products'!$A$2:$A$208,0))</f>
        <v>1000</v>
      </c>
      <c r="J355" s="14">
        <f>INDEX('Woolworths Products'!$E$2:$E$208,MATCH($E355,'Woolworths Products'!$A$2:$A$208,0))</f>
        <v>73.989999999999995</v>
      </c>
      <c r="K355" s="5">
        <f>IF(COUNTIFS($A$2:A355,A355,$E$2:E355,E355)=1,ROUNDUP(SUMIFS($G:$G,$A:$A,A355,$E:$E,E355)/I355,0),0)</f>
        <v>1</v>
      </c>
      <c r="L355" s="5">
        <f>K355*J355</f>
        <v>73.989999999999995</v>
      </c>
      <c r="M355" s="5">
        <f>G355/I355*J355</f>
        <v>14.798</v>
      </c>
      <c r="N355" s="9" t="s">
        <v>405</v>
      </c>
    </row>
    <row r="356" spans="1:14" x14ac:dyDescent="0.2">
      <c r="A356" s="12" t="s">
        <v>60</v>
      </c>
      <c r="B356" s="12" t="s">
        <v>22</v>
      </c>
      <c r="C356" s="12" t="s">
        <v>872</v>
      </c>
      <c r="D356" s="12" t="s">
        <v>298</v>
      </c>
      <c r="E356" s="13" t="s">
        <v>721</v>
      </c>
      <c r="F356" s="14" t="str">
        <f>INDEX('Woolworths Products'!$B$2:$B$208,MATCH($E356,'Woolworths Products'!$A$2:$A$208,0))</f>
        <v>Light Brown Sugar 1 kg</v>
      </c>
      <c r="G356" s="15">
        <v>100</v>
      </c>
      <c r="H356" s="14" t="str">
        <f>INDEX('Woolworths Products'!$G$2:$G$208,MATCH($E356,'Woolworths Products'!$A$2:$A$208,0))</f>
        <v>g</v>
      </c>
      <c r="I356" s="14">
        <f>INDEX('Woolworths Products'!$F$2:$F$208,MATCH($E356,'Woolworths Products'!$A$2:$A$208,0))</f>
        <v>1000</v>
      </c>
      <c r="J356" s="14">
        <f>INDEX('Woolworths Products'!$E$2:$E$208,MATCH($E356,'Woolworths Products'!$A$2:$A$208,0))</f>
        <v>35.99</v>
      </c>
      <c r="K356" s="5">
        <f>IF(COUNTIFS($A$2:A356,A356,$E$2:E356,E356)=1,ROUNDUP(SUMIFS($G:$G,$A:$A,A356,$E:$E,E356)/I356,0),0)</f>
        <v>1</v>
      </c>
      <c r="L356" s="5">
        <f>K356*J356</f>
        <v>35.99</v>
      </c>
      <c r="M356" s="5">
        <f>G356/I356*J356</f>
        <v>3.5990000000000002</v>
      </c>
      <c r="N356" s="9"/>
    </row>
    <row r="357" spans="1:14" x14ac:dyDescent="0.2">
      <c r="A357" s="12" t="s">
        <v>60</v>
      </c>
      <c r="B357" s="12" t="s">
        <v>22</v>
      </c>
      <c r="C357" s="12" t="s">
        <v>873</v>
      </c>
      <c r="D357" s="12" t="s">
        <v>298</v>
      </c>
      <c r="E357" s="13" t="s">
        <v>400</v>
      </c>
      <c r="F357" s="14" t="str">
        <f>INDEX('Woolworths Products'!$B$2:$B$208,MATCH($E357,'Woolworths Products'!$A$2:$A$208,0))</f>
        <v>White Spirit Vinegar 750 ml</v>
      </c>
      <c r="G357" s="15">
        <v>62.5</v>
      </c>
      <c r="H357" s="14" t="str">
        <f>INDEX('Woolworths Products'!$G$2:$G$208,MATCH($E357,'Woolworths Products'!$A$2:$A$208,0))</f>
        <v>ml</v>
      </c>
      <c r="I357" s="14">
        <f>INDEX('Woolworths Products'!$F$2:$F$208,MATCH($E357,'Woolworths Products'!$A$2:$A$208,0))</f>
        <v>750</v>
      </c>
      <c r="J357" s="14">
        <f>INDEX('Woolworths Products'!$E$2:$E$208,MATCH($E357,'Woolworths Products'!$A$2:$A$208,0))</f>
        <v>25.99</v>
      </c>
      <c r="K357" s="5">
        <f>IF(COUNTIFS($A$2:A357,A357,$E$2:E357,E357)=1,ROUNDUP(SUMIFS($G:$G,$A:$A,A357,$E:$E,E357)/I357,0),0)</f>
        <v>1</v>
      </c>
      <c r="L357" s="5">
        <f>K357*J357</f>
        <v>25.99</v>
      </c>
      <c r="M357" s="5">
        <f>G357/I357*J357</f>
        <v>2.1658333333333331</v>
      </c>
      <c r="N357" s="9"/>
    </row>
    <row r="358" spans="1:14" x14ac:dyDescent="0.2">
      <c r="A358" s="13" t="s">
        <v>60</v>
      </c>
      <c r="B358" s="13" t="s">
        <v>22</v>
      </c>
      <c r="C358" s="13" t="s">
        <v>487</v>
      </c>
      <c r="D358" s="13" t="s">
        <v>349</v>
      </c>
      <c r="E358" s="13"/>
      <c r="L358" s="5">
        <v>0</v>
      </c>
      <c r="M358" s="5">
        <v>0</v>
      </c>
      <c r="N358" s="9" t="s">
        <v>348</v>
      </c>
    </row>
    <row r="359" spans="1:14" x14ac:dyDescent="0.2">
      <c r="A359" s="12" t="s">
        <v>60</v>
      </c>
      <c r="B359" s="12" t="s">
        <v>22</v>
      </c>
      <c r="C359" s="12" t="s">
        <v>874</v>
      </c>
      <c r="D359" s="12" t="s">
        <v>298</v>
      </c>
      <c r="E359" s="13" t="s">
        <v>875</v>
      </c>
      <c r="F359" s="14" t="str">
        <f>INDEX('Woolworths Products'!$B$2:$B$208,MATCH($E359,'Woolworths Products'!$A$2:$A$208,0))</f>
        <v>Chilli Powder 45 g</v>
      </c>
      <c r="G359" s="15">
        <v>1.5</v>
      </c>
      <c r="H359" s="14" t="str">
        <f>INDEX('Woolworths Products'!$G$2:$G$208,MATCH($E359,'Woolworths Products'!$A$2:$A$208,0))</f>
        <v>g</v>
      </c>
      <c r="I359" s="14">
        <f>INDEX('Woolworths Products'!$F$2:$F$208,MATCH($E359,'Woolworths Products'!$A$2:$A$208,0))</f>
        <v>45</v>
      </c>
      <c r="J359" s="14">
        <f>INDEX('Woolworths Products'!$E$2:$E$208,MATCH($E359,'Woolworths Products'!$A$2:$A$208,0))</f>
        <v>34.99</v>
      </c>
      <c r="K359" s="5">
        <f>IF(COUNTIFS($A$2:A359,A359,$E$2:E359,E359)=1,ROUNDUP(SUMIFS($G:$G,$A:$A,A359,$E:$E,E359)/I359,0),0)</f>
        <v>1</v>
      </c>
      <c r="L359" s="5">
        <f t="shared" ref="L359:L377" si="38">K359*J359</f>
        <v>34.99</v>
      </c>
      <c r="M359" s="5">
        <f t="shared" ref="M359:M377" si="39">G359/I359*J359</f>
        <v>1.1663333333333334</v>
      </c>
      <c r="N359" s="9"/>
    </row>
    <row r="360" spans="1:14" x14ac:dyDescent="0.2">
      <c r="A360" s="12" t="s">
        <v>60</v>
      </c>
      <c r="B360" s="12" t="s">
        <v>22</v>
      </c>
      <c r="C360" s="12" t="s">
        <v>876</v>
      </c>
      <c r="D360" s="12" t="s">
        <v>298</v>
      </c>
      <c r="E360" s="13" t="s">
        <v>791</v>
      </c>
      <c r="F360" s="14" t="str">
        <f>INDEX('Woolworths Products'!$B$2:$B$208,MATCH($E360,'Woolworths Products'!$A$2:$A$208,0))</f>
        <v>Ground Allspice 55 g</v>
      </c>
      <c r="G360" s="15">
        <v>2</v>
      </c>
      <c r="H360" s="14" t="str">
        <f>INDEX('Woolworths Products'!$G$2:$G$208,MATCH($E360,'Woolworths Products'!$A$2:$A$208,0))</f>
        <v>g</v>
      </c>
      <c r="I360" s="14">
        <f>INDEX('Woolworths Products'!$F$2:$F$208,MATCH($E360,'Woolworths Products'!$A$2:$A$208,0))</f>
        <v>55</v>
      </c>
      <c r="J360" s="14">
        <f>INDEX('Woolworths Products'!$E$2:$E$208,MATCH($E360,'Woolworths Products'!$A$2:$A$208,0))</f>
        <v>59.99</v>
      </c>
      <c r="K360" s="5">
        <f>IF(COUNTIFS($A$2:A360,A360,$E$2:E360,E360)=1,ROUNDUP(SUMIFS($G:$G,$A:$A,A360,$E:$E,E360)/I360,0),0)</f>
        <v>1</v>
      </c>
      <c r="L360" s="5">
        <f t="shared" si="38"/>
        <v>59.99</v>
      </c>
      <c r="M360" s="5">
        <f t="shared" si="39"/>
        <v>2.1814545454545455</v>
      </c>
      <c r="N360" s="9"/>
    </row>
    <row r="361" spans="1:14" x14ac:dyDescent="0.2">
      <c r="A361" s="12" t="s">
        <v>61</v>
      </c>
      <c r="B361" s="12" t="s">
        <v>11</v>
      </c>
      <c r="C361" s="12" t="s">
        <v>877</v>
      </c>
      <c r="D361" s="12" t="s">
        <v>298</v>
      </c>
      <c r="E361" s="13" t="s">
        <v>878</v>
      </c>
      <c r="F361" s="14" t="str">
        <f>INDEX('Woolworths Products'!$B$2:$B$208,MATCH($E361,'Woolworths Products'!$A$2:$A$208,0))</f>
        <v>Chickpeas (dried) 500 g</v>
      </c>
      <c r="G361" s="15">
        <v>200</v>
      </c>
      <c r="H361" s="14" t="str">
        <f>INDEX('Woolworths Products'!$G$2:$G$208,MATCH($E361,'Woolworths Products'!$A$2:$A$208,0))</f>
        <v>g</v>
      </c>
      <c r="I361" s="14">
        <f>INDEX('Woolworths Products'!$F$2:$F$208,MATCH($E361,'Woolworths Products'!$A$2:$A$208,0))</f>
        <v>500</v>
      </c>
      <c r="J361" s="14">
        <f>INDEX('Woolworths Products'!$E$2:$E$208,MATCH($E361,'Woolworths Products'!$A$2:$A$208,0))</f>
        <v>59.99</v>
      </c>
      <c r="K361" s="5">
        <f>IF(COUNTIFS($A$2:A361,A361,$E$2:E361,E361)=1,ROUNDUP(SUMIFS($G:$G,$A:$A,A361,$E:$E,E361)/I361,0),0)</f>
        <v>1</v>
      </c>
      <c r="L361" s="5">
        <f t="shared" si="38"/>
        <v>59.99</v>
      </c>
      <c r="M361" s="5">
        <f t="shared" si="39"/>
        <v>23.996000000000002</v>
      </c>
      <c r="N361" s="9" t="s">
        <v>879</v>
      </c>
    </row>
    <row r="362" spans="1:14" x14ac:dyDescent="0.2">
      <c r="A362" s="12" t="s">
        <v>61</v>
      </c>
      <c r="B362" s="12" t="s">
        <v>11</v>
      </c>
      <c r="C362" s="12" t="s">
        <v>880</v>
      </c>
      <c r="D362" s="12" t="s">
        <v>298</v>
      </c>
      <c r="E362" s="13" t="s">
        <v>763</v>
      </c>
      <c r="F362" s="14" t="str">
        <f>INDEX('Woolworths Products'!$B$2:$B$208,MATCH($E362,'Woolworths Products'!$A$2:$A$208,0))</f>
        <v>Butternut Avg 900 g</v>
      </c>
      <c r="G362" s="15">
        <v>1</v>
      </c>
      <c r="H362" s="14" t="str">
        <f>INDEX('Woolworths Products'!$G$2:$G$208,MATCH($E362,'Woolworths Products'!$A$2:$A$208,0))</f>
        <v>ea</v>
      </c>
      <c r="I362" s="14">
        <f>INDEX('Woolworths Products'!$F$2:$F$208,MATCH($E362,'Woolworths Products'!$A$2:$A$208,0))</f>
        <v>1</v>
      </c>
      <c r="J362" s="14">
        <f>INDEX('Woolworths Products'!$E$2:$E$208,MATCH($E362,'Woolworths Products'!$A$2:$A$208,0))</f>
        <v>24.93</v>
      </c>
      <c r="K362" s="5">
        <f>IF(COUNTIFS($A$2:A362,A362,$E$2:E362,E362)=1,ROUNDUP(SUMIFS($G:$G,$A:$A,A362,$E:$E,E362)/I362,0),0)</f>
        <v>1</v>
      </c>
      <c r="L362" s="5">
        <f t="shared" si="38"/>
        <v>24.93</v>
      </c>
      <c r="M362" s="5">
        <f t="shared" si="39"/>
        <v>24.93</v>
      </c>
      <c r="N362" s="9" t="s">
        <v>432</v>
      </c>
    </row>
    <row r="363" spans="1:14" x14ac:dyDescent="0.2">
      <c r="A363" s="12" t="s">
        <v>61</v>
      </c>
      <c r="B363" s="12" t="s">
        <v>11</v>
      </c>
      <c r="C363" s="12" t="s">
        <v>558</v>
      </c>
      <c r="D363" s="12" t="s">
        <v>298</v>
      </c>
      <c r="E363" s="13" t="s">
        <v>343</v>
      </c>
      <c r="F363" s="14" t="str">
        <f>INDEX('Woolworths Products'!$B$2:$B$208,MATCH($E363,'Woolworths Products'!$A$2:$A$208,0))</f>
        <v>Brown Onions 1 kg</v>
      </c>
      <c r="G363" s="15">
        <v>300</v>
      </c>
      <c r="H363" s="14" t="str">
        <f>INDEX('Woolworths Products'!$G$2:$G$208,MATCH($E363,'Woolworths Products'!$A$2:$A$208,0))</f>
        <v>g</v>
      </c>
      <c r="I363" s="14">
        <f>INDEX('Woolworths Products'!$F$2:$F$208,MATCH($E363,'Woolworths Products'!$A$2:$A$208,0))</f>
        <v>1000</v>
      </c>
      <c r="J363" s="14">
        <f>INDEX('Woolworths Products'!$E$2:$E$208,MATCH($E363,'Woolworths Products'!$A$2:$A$208,0))</f>
        <v>39.9</v>
      </c>
      <c r="K363" s="5">
        <f>IF(COUNTIFS($A$2:A363,A363,$E$2:E363,E363)=1,ROUNDUP(SUMIFS($G:$G,$A:$A,A363,$E:$E,E363)/I363,0),0)</f>
        <v>1</v>
      </c>
      <c r="L363" s="5">
        <f t="shared" si="38"/>
        <v>39.9</v>
      </c>
      <c r="M363" s="5">
        <f t="shared" si="39"/>
        <v>11.969999999999999</v>
      </c>
      <c r="N363" s="9" t="s">
        <v>344</v>
      </c>
    </row>
    <row r="364" spans="1:14" x14ac:dyDescent="0.2">
      <c r="A364" s="12" t="s">
        <v>61</v>
      </c>
      <c r="B364" s="12" t="s">
        <v>11</v>
      </c>
      <c r="C364" s="12" t="s">
        <v>690</v>
      </c>
      <c r="D364" s="12" t="s">
        <v>298</v>
      </c>
      <c r="E364" s="13" t="s">
        <v>653</v>
      </c>
      <c r="F364" s="14" t="str">
        <f>INDEX('Woolworths Products'!$B$2:$B$208,MATCH($E364,'Woolworths Products'!$A$2:$A$208,0))</f>
        <v>Tikka Paste 200 g</v>
      </c>
      <c r="G364" s="15">
        <v>30</v>
      </c>
      <c r="H364" s="14" t="str">
        <f>INDEX('Woolworths Products'!$G$2:$G$208,MATCH($E364,'Woolworths Products'!$A$2:$A$208,0))</f>
        <v>g</v>
      </c>
      <c r="I364" s="14">
        <f>INDEX('Woolworths Products'!$F$2:$F$208,MATCH($E364,'Woolworths Products'!$A$2:$A$208,0))</f>
        <v>200</v>
      </c>
      <c r="J364" s="14">
        <f>INDEX('Woolworths Products'!$E$2:$E$208,MATCH($E364,'Woolworths Products'!$A$2:$A$208,0))</f>
        <v>59.99</v>
      </c>
      <c r="K364" s="5">
        <f>IF(COUNTIFS($A$2:A364,A364,$E$2:E364,E364)=1,ROUNDUP(SUMIFS($G:$G,$A:$A,A364,$E:$E,E364)/I364,0),0)</f>
        <v>1</v>
      </c>
      <c r="L364" s="5">
        <f t="shared" si="38"/>
        <v>59.99</v>
      </c>
      <c r="M364" s="5">
        <f t="shared" si="39"/>
        <v>8.9984999999999999</v>
      </c>
      <c r="N364" s="9"/>
    </row>
    <row r="365" spans="1:14" x14ac:dyDescent="0.2">
      <c r="A365" s="12" t="s">
        <v>61</v>
      </c>
      <c r="B365" s="12" t="s">
        <v>11</v>
      </c>
      <c r="C365" s="12" t="s">
        <v>881</v>
      </c>
      <c r="D365" s="12" t="s">
        <v>298</v>
      </c>
      <c r="E365" s="13" t="s">
        <v>882</v>
      </c>
      <c r="F365" s="14" t="str">
        <f>INDEX('Woolworths Products'!$B$2:$B$208,MATCH($E365,'Woolworths Products'!$A$2:$A$208,0))</f>
        <v>Garam Masala Blend 60 g</v>
      </c>
      <c r="G365" s="15">
        <v>7</v>
      </c>
      <c r="H365" s="14" t="str">
        <f>INDEX('Woolworths Products'!$G$2:$G$208,MATCH($E365,'Woolworths Products'!$A$2:$A$208,0))</f>
        <v>g</v>
      </c>
      <c r="I365" s="14">
        <f>INDEX('Woolworths Products'!$F$2:$F$208,MATCH($E365,'Woolworths Products'!$A$2:$A$208,0))</f>
        <v>60</v>
      </c>
      <c r="J365" s="14">
        <f>INDEX('Woolworths Products'!$E$2:$E$208,MATCH($E365,'Woolworths Products'!$A$2:$A$208,0))</f>
        <v>39.99</v>
      </c>
      <c r="K365" s="5">
        <f>IF(COUNTIFS($A$2:A365,A365,$E$2:E365,E365)=1,ROUNDUP(SUMIFS($G:$G,$A:$A,A365,$E:$E,E365)/I365,0),0)</f>
        <v>1</v>
      </c>
      <c r="L365" s="5">
        <f t="shared" si="38"/>
        <v>39.99</v>
      </c>
      <c r="M365" s="5">
        <f t="shared" si="39"/>
        <v>4.6655000000000006</v>
      </c>
      <c r="N365" s="9"/>
    </row>
    <row r="366" spans="1:14" x14ac:dyDescent="0.2">
      <c r="A366" s="12" t="s">
        <v>61</v>
      </c>
      <c r="B366" s="12" t="s">
        <v>11</v>
      </c>
      <c r="C366" s="12" t="s">
        <v>883</v>
      </c>
      <c r="D366" s="12" t="s">
        <v>298</v>
      </c>
      <c r="E366" s="13" t="s">
        <v>439</v>
      </c>
      <c r="F366" s="14" t="str">
        <f>INDEX('Woolworths Products'!$B$2:$B$208,MATCH($E366,'Woolworths Products'!$A$2:$A$208,0))</f>
        <v>Fresh Crushed Ginger 50 g</v>
      </c>
      <c r="G366" s="15">
        <v>30</v>
      </c>
      <c r="H366" s="14" t="str">
        <f>INDEX('Woolworths Products'!$G$2:$G$208,MATCH($E366,'Woolworths Products'!$A$2:$A$208,0))</f>
        <v>g</v>
      </c>
      <c r="I366" s="14">
        <f>INDEX('Woolworths Products'!$F$2:$F$208,MATCH($E366,'Woolworths Products'!$A$2:$A$208,0))</f>
        <v>50</v>
      </c>
      <c r="J366" s="14">
        <f>INDEX('Woolworths Products'!$E$2:$E$208,MATCH($E366,'Woolworths Products'!$A$2:$A$208,0))</f>
        <v>32.99</v>
      </c>
      <c r="K366" s="5">
        <f>IF(COUNTIFS($A$2:A366,A366,$E$2:E366,E366)=1,ROUNDUP(SUMIFS($G:$G,$A:$A,A366,$E:$E,E366)/I366,0),0)</f>
        <v>1</v>
      </c>
      <c r="L366" s="5">
        <f t="shared" si="38"/>
        <v>32.99</v>
      </c>
      <c r="M366" s="5">
        <f t="shared" si="39"/>
        <v>19.794</v>
      </c>
      <c r="N366" s="9" t="s">
        <v>884</v>
      </c>
    </row>
    <row r="367" spans="1:14" x14ac:dyDescent="0.2">
      <c r="A367" s="12" t="s">
        <v>61</v>
      </c>
      <c r="B367" s="12" t="s">
        <v>11</v>
      </c>
      <c r="C367" s="12" t="s">
        <v>885</v>
      </c>
      <c r="D367" s="12" t="s">
        <v>298</v>
      </c>
      <c r="E367" s="13" t="s">
        <v>377</v>
      </c>
      <c r="F367" s="14" t="str">
        <f>INDEX('Woolworths Products'!$B$2:$B$208,MATCH($E367,'Woolworths Products'!$A$2:$A$208,0))</f>
        <v>Fresh Peeled Garlic 50 g</v>
      </c>
      <c r="G367" s="15">
        <v>3</v>
      </c>
      <c r="H367" s="14" t="str">
        <f>INDEX('Woolworths Products'!$G$2:$G$208,MATCH($E367,'Woolworths Products'!$A$2:$A$208,0))</f>
        <v>clove</v>
      </c>
      <c r="I367" s="14">
        <f>INDEX('Woolworths Products'!$F$2:$F$208,MATCH($E367,'Woolworths Products'!$A$2:$A$208,0))</f>
        <v>10</v>
      </c>
      <c r="J367" s="14">
        <f>INDEX('Woolworths Products'!$E$2:$E$208,MATCH($E367,'Woolworths Products'!$A$2:$A$208,0))</f>
        <v>29.99</v>
      </c>
      <c r="K367" s="5">
        <f>IF(COUNTIFS($A$2:A367,A367,$E$2:E367,E367)=1,ROUNDUP(SUMIFS($G:$G,$A:$A,A367,$E:$E,E367)/I367,0),0)</f>
        <v>1</v>
      </c>
      <c r="L367" s="5">
        <f t="shared" si="38"/>
        <v>29.99</v>
      </c>
      <c r="M367" s="5">
        <f t="shared" si="39"/>
        <v>8.9969999999999999</v>
      </c>
      <c r="N367" s="9" t="s">
        <v>378</v>
      </c>
    </row>
    <row r="368" spans="1:14" x14ac:dyDescent="0.2">
      <c r="A368" s="12" t="s">
        <v>61</v>
      </c>
      <c r="B368" s="12" t="s">
        <v>11</v>
      </c>
      <c r="C368" s="12" t="s">
        <v>886</v>
      </c>
      <c r="D368" s="12" t="s">
        <v>298</v>
      </c>
      <c r="E368" s="13" t="s">
        <v>887</v>
      </c>
      <c r="F368" s="14" t="str">
        <f>INDEX('Woolworths Products'!$B$2:$B$208,MATCH($E368,'Woolworths Products'!$A$2:$A$208,0))</f>
        <v>Fresh Liquid Vegetable Stock 500 ml</v>
      </c>
      <c r="G368" s="15">
        <v>500</v>
      </c>
      <c r="H368" s="14" t="str">
        <f>INDEX('Woolworths Products'!$G$2:$G$208,MATCH($E368,'Woolworths Products'!$A$2:$A$208,0))</f>
        <v>ml</v>
      </c>
      <c r="I368" s="14">
        <f>INDEX('Woolworths Products'!$F$2:$F$208,MATCH($E368,'Woolworths Products'!$A$2:$A$208,0))</f>
        <v>500</v>
      </c>
      <c r="J368" s="14">
        <f>INDEX('Woolworths Products'!$E$2:$E$208,MATCH($E368,'Woolworths Products'!$A$2:$A$208,0))</f>
        <v>39.99</v>
      </c>
      <c r="K368" s="5">
        <f>IF(COUNTIFS($A$2:A368,A368,$E$2:E368,E368)=1,ROUNDUP(SUMIFS($G:$G,$A:$A,A368,$E:$E,E368)/I368,0),0)</f>
        <v>1</v>
      </c>
      <c r="L368" s="5">
        <f t="shared" si="38"/>
        <v>39.99</v>
      </c>
      <c r="M368" s="5">
        <f t="shared" si="39"/>
        <v>39.99</v>
      </c>
      <c r="N368" s="9"/>
    </row>
    <row r="369" spans="1:14" x14ac:dyDescent="0.2">
      <c r="A369" s="12" t="s">
        <v>61</v>
      </c>
      <c r="B369" s="12" t="s">
        <v>11</v>
      </c>
      <c r="C369" s="12" t="s">
        <v>888</v>
      </c>
      <c r="D369" s="12" t="s">
        <v>298</v>
      </c>
      <c r="E369" s="13" t="s">
        <v>409</v>
      </c>
      <c r="F369" s="14" t="str">
        <f>INDEX('Woolworths Products'!$B$2:$B$208,MATCH($E369,'Woolworths Products'!$A$2:$A$208,0))</f>
        <v>Fresh Coriander 30 g</v>
      </c>
      <c r="G369" s="15">
        <v>1</v>
      </c>
      <c r="H369" s="14" t="str">
        <f>INDEX('Woolworths Products'!$G$2:$G$208,MATCH($E369,'Woolworths Products'!$A$2:$A$208,0))</f>
        <v>punnet</v>
      </c>
      <c r="I369" s="14">
        <f>INDEX('Woolworths Products'!$F$2:$F$208,MATCH($E369,'Woolworths Products'!$A$2:$A$208,0))</f>
        <v>1</v>
      </c>
      <c r="J369" s="14">
        <f>INDEX('Woolworths Products'!$E$2:$E$208,MATCH($E369,'Woolworths Products'!$A$2:$A$208,0))</f>
        <v>15.99</v>
      </c>
      <c r="K369" s="5">
        <f>IF(COUNTIFS($A$2:A369,A369,$E$2:E369,E369)=1,ROUNDUP(SUMIFS($G:$G,$A:$A,A369,$E:$E,E369)/I369,0),0)</f>
        <v>1</v>
      </c>
      <c r="L369" s="5">
        <f t="shared" si="38"/>
        <v>15.99</v>
      </c>
      <c r="M369" s="5">
        <f t="shared" si="39"/>
        <v>15.99</v>
      </c>
      <c r="N369" s="9"/>
    </row>
    <row r="370" spans="1:14" x14ac:dyDescent="0.2">
      <c r="A370" s="12" t="s">
        <v>61</v>
      </c>
      <c r="B370" s="12" t="s">
        <v>11</v>
      </c>
      <c r="C370" s="12" t="s">
        <v>889</v>
      </c>
      <c r="D370" s="12" t="s">
        <v>298</v>
      </c>
      <c r="E370" s="13" t="s">
        <v>418</v>
      </c>
      <c r="F370" s="14" t="str">
        <f>INDEX('Woolworths Products'!$B$2:$B$208,MATCH($E370,'Woolworths Products'!$A$2:$A$208,0))</f>
        <v>Ayrshire Full Cream Plain Yoghurt 500 g</v>
      </c>
      <c r="G370" s="15">
        <v>85</v>
      </c>
      <c r="H370" s="14" t="str">
        <f>INDEX('Woolworths Products'!$G$2:$G$208,MATCH($E370,'Woolworths Products'!$A$2:$A$208,0))</f>
        <v>g</v>
      </c>
      <c r="I370" s="14">
        <f>INDEX('Woolworths Products'!$F$2:$F$208,MATCH($E370,'Woolworths Products'!$A$2:$A$208,0))</f>
        <v>500</v>
      </c>
      <c r="J370" s="14">
        <f>INDEX('Woolworths Products'!$E$2:$E$208,MATCH($E370,'Woolworths Products'!$A$2:$A$208,0))</f>
        <v>39.99</v>
      </c>
      <c r="K370" s="5">
        <f>IF(COUNTIFS($A$2:A370,A370,$E$2:E370,E370)=1,ROUNDUP(SUMIFS($G:$G,$A:$A,A370,$E:$E,E370)/I370,0),0)</f>
        <v>1</v>
      </c>
      <c r="L370" s="5">
        <f t="shared" si="38"/>
        <v>39.99</v>
      </c>
      <c r="M370" s="5">
        <f t="shared" si="39"/>
        <v>6.7983000000000011</v>
      </c>
      <c r="N370" s="9"/>
    </row>
    <row r="371" spans="1:14" x14ac:dyDescent="0.2">
      <c r="A371" s="16" t="s">
        <v>61</v>
      </c>
      <c r="B371" s="16" t="s">
        <v>11</v>
      </c>
      <c r="C371" s="16" t="s">
        <v>890</v>
      </c>
      <c r="D371" s="16" t="s">
        <v>298</v>
      </c>
      <c r="E371" s="17" t="s">
        <v>891</v>
      </c>
      <c r="F371" s="18" t="str">
        <f>INDEX('Woolworths Products'!$B$2:$B$208,MATCH($E371,'Woolworths Products'!$A$2:$A$208,0))</f>
        <v>Mrs H.S.Ball's Original Recipe Chutney 470 g</v>
      </c>
      <c r="G371" s="19">
        <v>30</v>
      </c>
      <c r="H371" s="18" t="str">
        <f>INDEX('Woolworths Products'!$G$2:$G$208,MATCH($E371,'Woolworths Products'!$A$2:$A$208,0))</f>
        <v>g</v>
      </c>
      <c r="I371" s="18">
        <f>INDEX('Woolworths Products'!$F$2:$F$208,MATCH($E371,'Woolworths Products'!$A$2:$A$208,0))</f>
        <v>470</v>
      </c>
      <c r="J371" s="18">
        <f>INDEX('Woolworths Products'!$E$2:$E$208,MATCH($E371,'Woolworths Products'!$A$2:$A$208,0))</f>
        <v>45.99</v>
      </c>
      <c r="K371" s="20">
        <f>IF(COUNTIFS($A$2:A371,A371,$E$2:E371,E371)=1,ROUNDUP(SUMIFS($G:$G,$A:$A,A371,$E:$E,E371)/I371,0),0)</f>
        <v>1</v>
      </c>
      <c r="L371" s="20">
        <f t="shared" si="38"/>
        <v>45.99</v>
      </c>
      <c r="M371" s="20">
        <f t="shared" si="39"/>
        <v>2.935531914893617</v>
      </c>
      <c r="N371" s="21" t="s">
        <v>623</v>
      </c>
    </row>
    <row r="372" spans="1:14" ht="28" x14ac:dyDescent="0.2">
      <c r="A372" s="16" t="s">
        <v>62</v>
      </c>
      <c r="B372" s="16" t="s">
        <v>63</v>
      </c>
      <c r="C372" s="16" t="s">
        <v>892</v>
      </c>
      <c r="D372" s="16" t="s">
        <v>396</v>
      </c>
      <c r="E372" s="17" t="s">
        <v>893</v>
      </c>
      <c r="F372" s="18" t="str">
        <f>INDEX('Woolworths Products'!$B$2:$B$208,MATCH($E372,'Woolworths Products'!$A$2:$A$208,0))</f>
        <v>Double Cream Ayrshire Strawberry Yoghurt 1 kg</v>
      </c>
      <c r="G372" s="19">
        <v>1</v>
      </c>
      <c r="H372" s="18" t="str">
        <f>INDEX('Woolworths Products'!$G$2:$G$208,MATCH($E372,'Woolworths Products'!$A$2:$A$208,0))</f>
        <v>ea</v>
      </c>
      <c r="I372" s="18">
        <f>INDEX('Woolworths Products'!$F$2:$F$208,MATCH($E372,'Woolworths Products'!$A$2:$A$208,0))</f>
        <v>1</v>
      </c>
      <c r="J372" s="18">
        <f>INDEX('Woolworths Products'!$E$2:$E$208,MATCH($E372,'Woolworths Products'!$A$2:$A$208,0))</f>
        <v>65.989999999999995</v>
      </c>
      <c r="K372" s="20">
        <f>IF(COUNTIFS($A$2:A372,A372,$E$2:E372,E372)=1,ROUNDUP(SUMIFS($G:$G,$A:$A,A372,$E:$E,E372)/I372,0),0)</f>
        <v>1</v>
      </c>
      <c r="L372" s="20">
        <f t="shared" si="38"/>
        <v>65.989999999999995</v>
      </c>
      <c r="M372" s="20">
        <f t="shared" si="39"/>
        <v>65.989999999999995</v>
      </c>
      <c r="N372" s="21" t="s">
        <v>894</v>
      </c>
    </row>
    <row r="373" spans="1:14" x14ac:dyDescent="0.2">
      <c r="A373" s="16" t="s">
        <v>62</v>
      </c>
      <c r="B373" s="16" t="s">
        <v>63</v>
      </c>
      <c r="C373" s="16" t="s">
        <v>895</v>
      </c>
      <c r="D373" s="16" t="s">
        <v>298</v>
      </c>
      <c r="E373" s="17" t="s">
        <v>896</v>
      </c>
      <c r="F373" s="18" t="str">
        <f>INDEX('Woolworths Products'!$B$2:$B$208,MATCH($E373,'Woolworths Products'!$A$2:$A$208,0))</f>
        <v>Organic Blueberries 125 g</v>
      </c>
      <c r="G373" s="19">
        <v>125</v>
      </c>
      <c r="H373" s="18" t="str">
        <f>INDEX('Woolworths Products'!$G$2:$G$208,MATCH($E373,'Woolworths Products'!$A$2:$A$208,0))</f>
        <v>g</v>
      </c>
      <c r="I373" s="18">
        <f>INDEX('Woolworths Products'!$F$2:$F$208,MATCH($E373,'Woolworths Products'!$A$2:$A$208,0))</f>
        <v>125</v>
      </c>
      <c r="J373" s="18">
        <f>INDEX('Woolworths Products'!$E$2:$E$208,MATCH($E373,'Woolworths Products'!$A$2:$A$208,0))</f>
        <v>45.99</v>
      </c>
      <c r="K373" s="20">
        <f>IF(COUNTIFS($A$2:A373,A373,$E$2:E373,E373)=1,ROUNDUP(SUMIFS($G:$G,$A:$A,A373,$E:$E,E373)/I373,0),0)</f>
        <v>1</v>
      </c>
      <c r="L373" s="20">
        <f t="shared" si="38"/>
        <v>45.99</v>
      </c>
      <c r="M373" s="20">
        <f t="shared" si="39"/>
        <v>45.99</v>
      </c>
      <c r="N373" s="21" t="s">
        <v>897</v>
      </c>
    </row>
    <row r="374" spans="1:14" x14ac:dyDescent="0.2">
      <c r="A374" s="12" t="s">
        <v>64</v>
      </c>
      <c r="B374" s="12" t="s">
        <v>11</v>
      </c>
      <c r="C374" s="12" t="s">
        <v>898</v>
      </c>
      <c r="D374" s="12" t="s">
        <v>298</v>
      </c>
      <c r="E374" s="13" t="s">
        <v>404</v>
      </c>
      <c r="F374" s="14" t="str">
        <f>INDEX('Woolworths Products'!$B$2:$B$208,MATCH($E374,'Woolworths Products'!$A$2:$A$208,0))</f>
        <v>Red Onions 1 kg</v>
      </c>
      <c r="G374" s="15">
        <v>200</v>
      </c>
      <c r="H374" s="14" t="str">
        <f>INDEX('Woolworths Products'!$G$2:$G$208,MATCH($E374,'Woolworths Products'!$A$2:$A$208,0))</f>
        <v>g</v>
      </c>
      <c r="I374" s="14">
        <f>INDEX('Woolworths Products'!$F$2:$F$208,MATCH($E374,'Woolworths Products'!$A$2:$A$208,0))</f>
        <v>1000</v>
      </c>
      <c r="J374" s="14">
        <f>INDEX('Woolworths Products'!$E$2:$E$208,MATCH($E374,'Woolworths Products'!$A$2:$A$208,0))</f>
        <v>73.989999999999995</v>
      </c>
      <c r="K374" s="5">
        <f>IF(COUNTIFS($A$2:A374,A374,$E$2:E374,E374)=1,ROUNDUP(SUMIFS($G:$G,$A:$A,A374,$E:$E,E374)/I374,0),0)</f>
        <v>1</v>
      </c>
      <c r="L374" s="5">
        <f t="shared" si="38"/>
        <v>73.989999999999995</v>
      </c>
      <c r="M374" s="5">
        <f t="shared" si="39"/>
        <v>14.798</v>
      </c>
      <c r="N374" s="9" t="s">
        <v>405</v>
      </c>
    </row>
    <row r="375" spans="1:14" x14ac:dyDescent="0.2">
      <c r="A375" s="12" t="s">
        <v>64</v>
      </c>
      <c r="B375" s="12" t="s">
        <v>11</v>
      </c>
      <c r="C375" s="12" t="s">
        <v>814</v>
      </c>
      <c r="D375" s="12" t="s">
        <v>298</v>
      </c>
      <c r="E375" s="13" t="s">
        <v>330</v>
      </c>
      <c r="F375" s="14" t="str">
        <f>INDEX('Woolworths Products'!$B$2:$B$208,MATCH($E375,'Woolworths Products'!$A$2:$A$208,0))</f>
        <v>Prince Albert Extra Virgin Olive Oil 250 ml</v>
      </c>
      <c r="G375" s="15">
        <v>15</v>
      </c>
      <c r="H375" s="14" t="str">
        <f>INDEX('Woolworths Products'!$G$2:$G$208,MATCH($E375,'Woolworths Products'!$A$2:$A$208,0))</f>
        <v>ml</v>
      </c>
      <c r="I375" s="14">
        <f>INDEX('Woolworths Products'!$F$2:$F$208,MATCH($E375,'Woolworths Products'!$A$2:$A$208,0))</f>
        <v>250</v>
      </c>
      <c r="J375" s="14">
        <f>INDEX('Woolworths Products'!$E$2:$E$208,MATCH($E375,'Woolworths Products'!$A$2:$A$208,0))</f>
        <v>109.99</v>
      </c>
      <c r="K375" s="5">
        <f>IF(COUNTIFS($A$2:A375,A375,$E$2:E375,E375)=1,ROUNDUP(SUMIFS($G:$G,$A:$A,A375,$E:$E,E375)/I375,0),0)</f>
        <v>1</v>
      </c>
      <c r="L375" s="5">
        <f t="shared" si="38"/>
        <v>109.99</v>
      </c>
      <c r="M375" s="5">
        <f t="shared" si="39"/>
        <v>6.5993999999999993</v>
      </c>
      <c r="N375" s="9"/>
    </row>
    <row r="376" spans="1:14" x14ac:dyDescent="0.2">
      <c r="A376" s="12" t="s">
        <v>64</v>
      </c>
      <c r="B376" s="12" t="s">
        <v>11</v>
      </c>
      <c r="C376" s="12" t="s">
        <v>899</v>
      </c>
      <c r="D376" s="12" t="s">
        <v>298</v>
      </c>
      <c r="E376" s="13" t="s">
        <v>900</v>
      </c>
      <c r="F376" s="14" t="str">
        <f>INDEX('Woolworths Products'!$B$2:$B$208,MATCH($E376,'Woolworths Products'!$A$2:$A$208,0))</f>
        <v>Chicken Stock Concentrate Tubs 4 x 24 g</v>
      </c>
      <c r="G376" s="15">
        <v>1</v>
      </c>
      <c r="H376" s="14" t="str">
        <f>INDEX('Woolworths Products'!$G$2:$G$208,MATCH($E376,'Woolworths Products'!$A$2:$A$208,0))</f>
        <v>ea</v>
      </c>
      <c r="I376" s="14">
        <f>INDEX('Woolworths Products'!$F$2:$F$208,MATCH($E376,'Woolworths Products'!$A$2:$A$208,0))</f>
        <v>4</v>
      </c>
      <c r="J376" s="14">
        <f>INDEX('Woolworths Products'!$E$2:$E$208,MATCH($E376,'Woolworths Products'!$A$2:$A$208,0))</f>
        <v>49.99</v>
      </c>
      <c r="K376" s="5">
        <f>IF(COUNTIFS($A$2:A376,A376,$E$2:E376,E376)=1,ROUNDUP(SUMIFS($G:$G,$A:$A,A376,$E:$E,E376)/I376,0),0)</f>
        <v>1</v>
      </c>
      <c r="L376" s="5">
        <f t="shared" si="38"/>
        <v>49.99</v>
      </c>
      <c r="M376" s="5">
        <f t="shared" si="39"/>
        <v>12.4975</v>
      </c>
      <c r="N376" s="9"/>
    </row>
    <row r="377" spans="1:14" x14ac:dyDescent="0.2">
      <c r="A377" s="12" t="s">
        <v>64</v>
      </c>
      <c r="B377" s="12" t="s">
        <v>11</v>
      </c>
      <c r="C377" s="12" t="s">
        <v>901</v>
      </c>
      <c r="D377" s="12" t="s">
        <v>298</v>
      </c>
      <c r="E377" s="13" t="s">
        <v>323</v>
      </c>
      <c r="F377" s="14" t="str">
        <f>INDEX('Woolworths Products'!$B$2:$B$208,MATCH($E377,'Woolworths Products'!$A$2:$A$208,0))</f>
        <v>Lemons 3 pk</v>
      </c>
      <c r="G377" s="15">
        <v>2</v>
      </c>
      <c r="H377" s="14" t="str">
        <f>INDEX('Woolworths Products'!$G$2:$G$208,MATCH($E377,'Woolworths Products'!$A$2:$A$208,0))</f>
        <v>ea</v>
      </c>
      <c r="I377" s="14">
        <f>INDEX('Woolworths Products'!$F$2:$F$208,MATCH($E377,'Woolworths Products'!$A$2:$A$208,0))</f>
        <v>3</v>
      </c>
      <c r="J377" s="14">
        <f>INDEX('Woolworths Products'!$E$2:$E$208,MATCH($E377,'Woolworths Products'!$A$2:$A$208,0))</f>
        <v>27.99</v>
      </c>
      <c r="K377" s="5">
        <f>IF(COUNTIFS($A$2:A377,A377,$E$2:E377,E377)=1,ROUNDUP(SUMIFS($G:$G,$A:$A,A377,$E:$E,E377)/I377,0),0)</f>
        <v>1</v>
      </c>
      <c r="L377" s="5">
        <f t="shared" si="38"/>
        <v>27.99</v>
      </c>
      <c r="M377" s="5">
        <f t="shared" si="39"/>
        <v>18.659999999999997</v>
      </c>
      <c r="N377" s="9"/>
    </row>
    <row r="378" spans="1:14" x14ac:dyDescent="0.2">
      <c r="A378" s="13" t="s">
        <v>64</v>
      </c>
      <c r="B378" s="13" t="s">
        <v>11</v>
      </c>
      <c r="C378" s="13" t="s">
        <v>902</v>
      </c>
      <c r="D378" s="13" t="s">
        <v>349</v>
      </c>
      <c r="E378" s="13"/>
      <c r="L378" s="5">
        <v>0</v>
      </c>
      <c r="M378" s="5">
        <v>0</v>
      </c>
      <c r="N378" s="9" t="s">
        <v>522</v>
      </c>
    </row>
    <row r="379" spans="1:14" x14ac:dyDescent="0.2">
      <c r="A379" s="12" t="s">
        <v>64</v>
      </c>
      <c r="B379" s="12" t="s">
        <v>11</v>
      </c>
      <c r="C379" s="12" t="s">
        <v>903</v>
      </c>
      <c r="D379" s="12" t="s">
        <v>298</v>
      </c>
      <c r="E379" s="13" t="s">
        <v>904</v>
      </c>
      <c r="F379" s="14" t="str">
        <f>INDEX('Woolworths Products'!$B$2:$B$208,MATCH($E379,'Woolworths Products'!$A$2:$A$208,0))</f>
        <v>Orzo Pasta 500 g</v>
      </c>
      <c r="G379" s="15">
        <v>190</v>
      </c>
      <c r="H379" s="14" t="str">
        <f>INDEX('Woolworths Products'!$G$2:$G$208,MATCH($E379,'Woolworths Products'!$A$2:$A$208,0))</f>
        <v>g</v>
      </c>
      <c r="I379" s="14">
        <f>INDEX('Woolworths Products'!$F$2:$F$208,MATCH($E379,'Woolworths Products'!$A$2:$A$208,0))</f>
        <v>500</v>
      </c>
      <c r="J379" s="14">
        <f>INDEX('Woolworths Products'!$E$2:$E$208,MATCH($E379,'Woolworths Products'!$A$2:$A$208,0))</f>
        <v>22.99</v>
      </c>
      <c r="K379" s="5">
        <f>IF(COUNTIFS($A$2:A379,A379,$E$2:E379,E379)=1,ROUNDUP(SUMIFS($G:$G,$A:$A,A379,$E:$E,E379)/I379,0),0)</f>
        <v>1</v>
      </c>
      <c r="L379" s="5">
        <f t="shared" ref="L379:L388" si="40">K379*J379</f>
        <v>22.99</v>
      </c>
      <c r="M379" s="5">
        <f t="shared" ref="M379:M388" si="41">G379/I379*J379</f>
        <v>8.7362000000000002</v>
      </c>
      <c r="N379" s="9" t="s">
        <v>905</v>
      </c>
    </row>
    <row r="380" spans="1:14" x14ac:dyDescent="0.2">
      <c r="A380" s="12" t="s">
        <v>64</v>
      </c>
      <c r="B380" s="12" t="s">
        <v>11</v>
      </c>
      <c r="C380" s="12" t="s">
        <v>906</v>
      </c>
      <c r="D380" s="12" t="s">
        <v>298</v>
      </c>
      <c r="E380" s="13" t="s">
        <v>377</v>
      </c>
      <c r="F380" s="14" t="str">
        <f>INDEX('Woolworths Products'!$B$2:$B$208,MATCH($E380,'Woolworths Products'!$A$2:$A$208,0))</f>
        <v>Fresh Peeled Garlic 50 g</v>
      </c>
      <c r="G380" s="15">
        <v>2</v>
      </c>
      <c r="H380" s="14" t="str">
        <f>INDEX('Woolworths Products'!$G$2:$G$208,MATCH($E380,'Woolworths Products'!$A$2:$A$208,0))</f>
        <v>clove</v>
      </c>
      <c r="I380" s="14">
        <f>INDEX('Woolworths Products'!$F$2:$F$208,MATCH($E380,'Woolworths Products'!$A$2:$A$208,0))</f>
        <v>10</v>
      </c>
      <c r="J380" s="14">
        <f>INDEX('Woolworths Products'!$E$2:$E$208,MATCH($E380,'Woolworths Products'!$A$2:$A$208,0))</f>
        <v>29.99</v>
      </c>
      <c r="K380" s="5">
        <f>IF(COUNTIFS($A$2:A380,A380,$E$2:E380,E380)=1,ROUNDUP(SUMIFS($G:$G,$A:$A,A380,$E:$E,E380)/I380,0),0)</f>
        <v>1</v>
      </c>
      <c r="L380" s="5">
        <f t="shared" si="40"/>
        <v>29.99</v>
      </c>
      <c r="M380" s="5">
        <f t="shared" si="41"/>
        <v>5.9980000000000002</v>
      </c>
      <c r="N380" s="9" t="s">
        <v>378</v>
      </c>
    </row>
    <row r="381" spans="1:14" x14ac:dyDescent="0.2">
      <c r="A381" s="12" t="s">
        <v>64</v>
      </c>
      <c r="B381" s="12" t="s">
        <v>11</v>
      </c>
      <c r="C381" s="12" t="s">
        <v>907</v>
      </c>
      <c r="D381" s="12" t="s">
        <v>298</v>
      </c>
      <c r="E381" s="13" t="s">
        <v>908</v>
      </c>
      <c r="F381" s="14" t="str">
        <f>INDEX('Woolworths Products'!$B$2:$B$208,MATCH($E381,'Woolworths Products'!$A$2:$A$208,0))</f>
        <v>Chicken Drumsticks &amp; Thighs Avg 900 g</v>
      </c>
      <c r="G381" s="15">
        <v>1</v>
      </c>
      <c r="H381" s="14" t="str">
        <f>INDEX('Woolworths Products'!$G$2:$G$208,MATCH($E381,'Woolworths Products'!$A$2:$A$208,0))</f>
        <v>ea</v>
      </c>
      <c r="I381" s="14">
        <f>INDEX('Woolworths Products'!$F$2:$F$208,MATCH($E381,'Woolworths Products'!$A$2:$A$208,0))</f>
        <v>1</v>
      </c>
      <c r="J381" s="14">
        <f>INDEX('Woolworths Products'!$E$2:$E$208,MATCH($E381,'Woolworths Products'!$A$2:$A$208,0))</f>
        <v>105.79</v>
      </c>
      <c r="K381" s="5">
        <f>IF(COUNTIFS($A$2:A381,A381,$E$2:E381,E381)=1,ROUNDUP(SUMIFS($G:$G,$A:$A,A381,$E:$E,E381)/I381,0),0)</f>
        <v>1</v>
      </c>
      <c r="L381" s="5">
        <f t="shared" si="40"/>
        <v>105.79</v>
      </c>
      <c r="M381" s="5">
        <f t="shared" si="41"/>
        <v>105.79</v>
      </c>
      <c r="N381" s="9" t="s">
        <v>909</v>
      </c>
    </row>
    <row r="382" spans="1:14" x14ac:dyDescent="0.2">
      <c r="A382" s="12" t="s">
        <v>64</v>
      </c>
      <c r="B382" s="12" t="s">
        <v>11</v>
      </c>
      <c r="C382" s="12" t="s">
        <v>910</v>
      </c>
      <c r="D382" s="12" t="s">
        <v>298</v>
      </c>
      <c r="E382" s="13" t="s">
        <v>301</v>
      </c>
      <c r="F382" s="14" t="str">
        <f>INDEX('Woolworths Products'!$B$2:$B$208,MATCH($E382,'Woolworths Products'!$A$2:$A$208,0))</f>
        <v>Baby Marrows 350 g</v>
      </c>
      <c r="G382" s="15">
        <v>175</v>
      </c>
      <c r="H382" s="14" t="str">
        <f>INDEX('Woolworths Products'!$G$2:$G$208,MATCH($E382,'Woolworths Products'!$A$2:$A$208,0))</f>
        <v>g</v>
      </c>
      <c r="I382" s="14">
        <f>INDEX('Woolworths Products'!$F$2:$F$208,MATCH($E382,'Woolworths Products'!$A$2:$A$208,0))</f>
        <v>350</v>
      </c>
      <c r="J382" s="14">
        <f>INDEX('Woolworths Products'!$E$2:$E$208,MATCH($E382,'Woolworths Products'!$A$2:$A$208,0))</f>
        <v>32.99</v>
      </c>
      <c r="K382" s="5">
        <f>IF(COUNTIFS($A$2:A382,A382,$E$2:E382,E382)=1,ROUNDUP(SUMIFS($G:$G,$A:$A,A382,$E:$E,E382)/I382,0),0)</f>
        <v>1</v>
      </c>
      <c r="L382" s="5">
        <f t="shared" si="40"/>
        <v>32.99</v>
      </c>
      <c r="M382" s="5">
        <f t="shared" si="41"/>
        <v>16.495000000000001</v>
      </c>
      <c r="N382" s="9"/>
    </row>
    <row r="383" spans="1:14" x14ac:dyDescent="0.2">
      <c r="A383" s="12" t="s">
        <v>64</v>
      </c>
      <c r="B383" s="12" t="s">
        <v>11</v>
      </c>
      <c r="C383" s="12" t="s">
        <v>911</v>
      </c>
      <c r="D383" s="12" t="s">
        <v>298</v>
      </c>
      <c r="E383" s="13" t="s">
        <v>530</v>
      </c>
      <c r="F383" s="14" t="str">
        <f>INDEX('Woolworths Products'!$B$2:$B$208,MATCH($E383,'Woolworths Products'!$A$2:$A$208,0))</f>
        <v>Frozen Petits Pois Peas 500 g</v>
      </c>
      <c r="G383" s="15">
        <v>140</v>
      </c>
      <c r="H383" s="14" t="str">
        <f>INDEX('Woolworths Products'!$G$2:$G$208,MATCH($E383,'Woolworths Products'!$A$2:$A$208,0))</f>
        <v>g</v>
      </c>
      <c r="I383" s="14">
        <f>INDEX('Woolworths Products'!$F$2:$F$208,MATCH($E383,'Woolworths Products'!$A$2:$A$208,0))</f>
        <v>500</v>
      </c>
      <c r="J383" s="14">
        <f>INDEX('Woolworths Products'!$E$2:$E$208,MATCH($E383,'Woolworths Products'!$A$2:$A$208,0))</f>
        <v>49.99</v>
      </c>
      <c r="K383" s="5">
        <f>IF(COUNTIFS($A$2:A383,A383,$E$2:E383,E383)=1,ROUNDUP(SUMIFS($G:$G,$A:$A,A383,$E:$E,E383)/I383,0),0)</f>
        <v>1</v>
      </c>
      <c r="L383" s="5">
        <f t="shared" si="40"/>
        <v>49.99</v>
      </c>
      <c r="M383" s="5">
        <f t="shared" si="41"/>
        <v>13.997200000000001</v>
      </c>
      <c r="N383" s="9"/>
    </row>
    <row r="384" spans="1:14" x14ac:dyDescent="0.2">
      <c r="A384" s="12" t="s">
        <v>64</v>
      </c>
      <c r="B384" s="12" t="s">
        <v>11</v>
      </c>
      <c r="C384" s="12" t="s">
        <v>912</v>
      </c>
      <c r="D384" s="12" t="s">
        <v>298</v>
      </c>
      <c r="E384" s="13" t="s">
        <v>323</v>
      </c>
      <c r="F384" s="14" t="str">
        <f>INDEX('Woolworths Products'!$B$2:$B$208,MATCH($E384,'Woolworths Products'!$A$2:$A$208,0))</f>
        <v>Lemons 3 pk</v>
      </c>
      <c r="G384" s="15">
        <v>1</v>
      </c>
      <c r="H384" s="14" t="str">
        <f>INDEX('Woolworths Products'!$G$2:$G$208,MATCH($E384,'Woolworths Products'!$A$2:$A$208,0))</f>
        <v>ea</v>
      </c>
      <c r="I384" s="14">
        <f>INDEX('Woolworths Products'!$F$2:$F$208,MATCH($E384,'Woolworths Products'!$A$2:$A$208,0))</f>
        <v>3</v>
      </c>
      <c r="J384" s="14">
        <f>INDEX('Woolworths Products'!$E$2:$E$208,MATCH($E384,'Woolworths Products'!$A$2:$A$208,0))</f>
        <v>27.99</v>
      </c>
      <c r="K384" s="5">
        <f>IF(COUNTIFS($A$2:A384,A384,$E$2:E384,E384)=1,ROUNDUP(SUMIFS($G:$G,$A:$A,A384,$E:$E,E384)/I384,0),0)</f>
        <v>0</v>
      </c>
      <c r="L384" s="5">
        <f t="shared" si="40"/>
        <v>0</v>
      </c>
      <c r="M384" s="5">
        <f t="shared" si="41"/>
        <v>9.3299999999999983</v>
      </c>
      <c r="N384" s="9"/>
    </row>
    <row r="385" spans="1:14" x14ac:dyDescent="0.2">
      <c r="A385" s="16" t="s">
        <v>64</v>
      </c>
      <c r="B385" s="16" t="s">
        <v>11</v>
      </c>
      <c r="C385" s="16" t="s">
        <v>913</v>
      </c>
      <c r="D385" s="16" t="s">
        <v>298</v>
      </c>
      <c r="E385" s="17" t="s">
        <v>318</v>
      </c>
      <c r="F385" s="18" t="str">
        <f>INDEX('Woolworths Products'!$B$2:$B$208,MATCH($E385,'Woolworths Products'!$A$2:$A$208,0))</f>
        <v>Plain South African Feta Cheese 100 g</v>
      </c>
      <c r="G385" s="19">
        <v>50</v>
      </c>
      <c r="H385" s="18" t="str">
        <f>INDEX('Woolworths Products'!$G$2:$G$208,MATCH($E385,'Woolworths Products'!$A$2:$A$208,0))</f>
        <v>g</v>
      </c>
      <c r="I385" s="18">
        <f>INDEX('Woolworths Products'!$F$2:$F$208,MATCH($E385,'Woolworths Products'!$A$2:$A$208,0))</f>
        <v>100</v>
      </c>
      <c r="J385" s="18">
        <f>INDEX('Woolworths Products'!$E$2:$E$208,MATCH($E385,'Woolworths Products'!$A$2:$A$208,0))</f>
        <v>24.99</v>
      </c>
      <c r="K385" s="20">
        <f>IF(COUNTIFS($A$2:A385,A385,$E$2:E385,E385)=1,ROUNDUP(SUMIFS($G:$G,$A:$A,A385,$E:$E,E385)/I385,0),0)</f>
        <v>1</v>
      </c>
      <c r="L385" s="20">
        <f t="shared" si="40"/>
        <v>24.99</v>
      </c>
      <c r="M385" s="20">
        <f t="shared" si="41"/>
        <v>12.494999999999999</v>
      </c>
      <c r="N385" s="21" t="s">
        <v>319</v>
      </c>
    </row>
    <row r="386" spans="1:14" x14ac:dyDescent="0.2">
      <c r="A386" s="12" t="s">
        <v>64</v>
      </c>
      <c r="B386" s="12" t="s">
        <v>11</v>
      </c>
      <c r="C386" s="12" t="s">
        <v>533</v>
      </c>
      <c r="D386" s="12" t="s">
        <v>298</v>
      </c>
      <c r="E386" s="13" t="s">
        <v>486</v>
      </c>
      <c r="F386" s="14" t="str">
        <f>INDEX('Woolworths Products'!$B$2:$B$208,MATCH($E386,'Woolworths Products'!$A$2:$A$208,0))</f>
        <v>Fresh Basil 30 g</v>
      </c>
      <c r="G386" s="15">
        <v>0.5</v>
      </c>
      <c r="H386" s="14" t="str">
        <f>INDEX('Woolworths Products'!$G$2:$G$208,MATCH($E386,'Woolworths Products'!$A$2:$A$208,0))</f>
        <v>punnet</v>
      </c>
      <c r="I386" s="14">
        <f>INDEX('Woolworths Products'!$F$2:$F$208,MATCH($E386,'Woolworths Products'!$A$2:$A$208,0))</f>
        <v>1</v>
      </c>
      <c r="J386" s="14">
        <f>INDEX('Woolworths Products'!$E$2:$E$208,MATCH($E386,'Woolworths Products'!$A$2:$A$208,0))</f>
        <v>15.99</v>
      </c>
      <c r="K386" s="5">
        <f>IF(COUNTIFS($A$2:A386,A386,$E$2:E386,E386)=1,ROUNDUP(SUMIFS($G:$G,$A:$A,A386,$E:$E,E386)/I386,0),0)</f>
        <v>1</v>
      </c>
      <c r="L386" s="5">
        <f t="shared" si="40"/>
        <v>15.99</v>
      </c>
      <c r="M386" s="5">
        <f t="shared" si="41"/>
        <v>7.9950000000000001</v>
      </c>
      <c r="N386" s="9"/>
    </row>
    <row r="387" spans="1:14" x14ac:dyDescent="0.2">
      <c r="A387" s="16" t="s">
        <v>65</v>
      </c>
      <c r="B387" s="16" t="s">
        <v>14</v>
      </c>
      <c r="C387" s="16" t="s">
        <v>914</v>
      </c>
      <c r="D387" s="16" t="s">
        <v>298</v>
      </c>
      <c r="E387" s="17" t="s">
        <v>489</v>
      </c>
      <c r="F387" s="18" t="str">
        <f>INDEX('Woolworths Products'!$B$2:$B$208,MATCH($E387,'Woolworths Products'!$A$2:$A$208,0))</f>
        <v>Large Potatoes 2 kg</v>
      </c>
      <c r="G387" s="19">
        <v>1000</v>
      </c>
      <c r="H387" s="18" t="str">
        <f>INDEX('Woolworths Products'!$G$2:$G$208,MATCH($E387,'Woolworths Products'!$A$2:$A$208,0))</f>
        <v>g</v>
      </c>
      <c r="I387" s="18">
        <f>INDEX('Woolworths Products'!$F$2:$F$208,MATCH($E387,'Woolworths Products'!$A$2:$A$208,0))</f>
        <v>2000</v>
      </c>
      <c r="J387" s="18">
        <f>INDEX('Woolworths Products'!$E$2:$E$208,MATCH($E387,'Woolworths Products'!$A$2:$A$208,0))</f>
        <v>48.99</v>
      </c>
      <c r="K387" s="20">
        <f>IF(COUNTIFS($A$2:A387,A387,$E$2:E387,E387)=1,ROUNDUP(SUMIFS($G:$G,$A:$A,A387,$E:$E,E387)/I387,0),0)</f>
        <v>1</v>
      </c>
      <c r="L387" s="20">
        <f t="shared" si="40"/>
        <v>48.99</v>
      </c>
      <c r="M387" s="20">
        <f t="shared" si="41"/>
        <v>24.495000000000001</v>
      </c>
      <c r="N387" s="21" t="s">
        <v>915</v>
      </c>
    </row>
    <row r="388" spans="1:14" x14ac:dyDescent="0.2">
      <c r="A388" s="16" t="s">
        <v>65</v>
      </c>
      <c r="B388" s="16" t="s">
        <v>14</v>
      </c>
      <c r="C388" s="16" t="s">
        <v>334</v>
      </c>
      <c r="D388" s="16" t="s">
        <v>298</v>
      </c>
      <c r="E388" s="17" t="s">
        <v>335</v>
      </c>
      <c r="F388" s="18" t="str">
        <f>INDEX('Woolworths Products'!$B$2:$B$208,MATCH($E388,'Woolworths Products'!$A$2:$A$208,0))</f>
        <v>Extra Virgin Olive Oil Spray 250 ml</v>
      </c>
      <c r="G388" s="19">
        <v>3</v>
      </c>
      <c r="H388" s="18" t="str">
        <f>INDEX('Woolworths Products'!$G$2:$G$208,MATCH($E388,'Woolworths Products'!$A$2:$A$208,0))</f>
        <v>ml</v>
      </c>
      <c r="I388" s="18">
        <f>INDEX('Woolworths Products'!$F$2:$F$208,MATCH($E388,'Woolworths Products'!$A$2:$A$208,0))</f>
        <v>250</v>
      </c>
      <c r="J388" s="18">
        <f>INDEX('Woolworths Products'!$E$2:$E$208,MATCH($E388,'Woolworths Products'!$A$2:$A$208,0))</f>
        <v>199.99</v>
      </c>
      <c r="K388" s="20">
        <f>IF(COUNTIFS($A$2:A388,A388,$E$2:E388,E388)=1,ROUNDUP(SUMIFS($G:$G,$A:$A,A388,$E:$E,E388)/I388,0),0)</f>
        <v>1</v>
      </c>
      <c r="L388" s="20">
        <f t="shared" si="40"/>
        <v>199.99</v>
      </c>
      <c r="M388" s="20">
        <f t="shared" si="41"/>
        <v>2.39988</v>
      </c>
      <c r="N388" s="21" t="s">
        <v>336</v>
      </c>
    </row>
    <row r="389" spans="1:14" x14ac:dyDescent="0.2">
      <c r="A389" s="13" t="s">
        <v>65</v>
      </c>
      <c r="B389" s="13" t="s">
        <v>14</v>
      </c>
      <c r="C389" s="13" t="s">
        <v>422</v>
      </c>
      <c r="D389" s="13" t="s">
        <v>349</v>
      </c>
      <c r="E389" s="13"/>
      <c r="L389" s="5">
        <v>0</v>
      </c>
      <c r="M389" s="5">
        <v>0</v>
      </c>
      <c r="N389" s="9" t="s">
        <v>422</v>
      </c>
    </row>
    <row r="390" spans="1:14" x14ac:dyDescent="0.2">
      <c r="A390" s="12" t="s">
        <v>65</v>
      </c>
      <c r="B390" s="12" t="s">
        <v>14</v>
      </c>
      <c r="C390" s="12" t="s">
        <v>916</v>
      </c>
      <c r="D390" s="12" t="s">
        <v>298</v>
      </c>
      <c r="E390" s="13" t="s">
        <v>461</v>
      </c>
      <c r="F390" s="14" t="str">
        <f>INDEX('Woolworths Products'!$B$2:$B$208,MATCH($E390,'Woolworths Products'!$A$2:$A$208,0))</f>
        <v>Fresh Rosemary 20 g</v>
      </c>
      <c r="G390" s="15">
        <v>0.25</v>
      </c>
      <c r="H390" s="14" t="str">
        <f>INDEX('Woolworths Products'!$G$2:$G$208,MATCH($E390,'Woolworths Products'!$A$2:$A$208,0))</f>
        <v>punnet</v>
      </c>
      <c r="I390" s="14">
        <f>INDEX('Woolworths Products'!$F$2:$F$208,MATCH($E390,'Woolworths Products'!$A$2:$A$208,0))</f>
        <v>1</v>
      </c>
      <c r="J390" s="14">
        <f>INDEX('Woolworths Products'!$E$2:$E$208,MATCH($E390,'Woolworths Products'!$A$2:$A$208,0))</f>
        <v>15.99</v>
      </c>
      <c r="K390" s="5">
        <f>IF(COUNTIFS($A$2:A390,A390,$E$2:E390,E390)=1,ROUNDUP(SUMIFS($G:$G,$A:$A,A390,$E:$E,E390)/I390,0),0)</f>
        <v>1</v>
      </c>
      <c r="L390" s="5">
        <f t="shared" ref="L390:L411" si="42">K390*J390</f>
        <v>15.99</v>
      </c>
      <c r="M390" s="5">
        <f t="shared" ref="M390:M411" si="43">G390/I390*J390</f>
        <v>3.9975000000000001</v>
      </c>
      <c r="N390" s="9"/>
    </row>
    <row r="391" spans="1:14" x14ac:dyDescent="0.2">
      <c r="A391" s="12" t="s">
        <v>66</v>
      </c>
      <c r="B391" s="12" t="s">
        <v>17</v>
      </c>
      <c r="C391" s="12" t="s">
        <v>917</v>
      </c>
      <c r="D391" s="12" t="s">
        <v>298</v>
      </c>
      <c r="E391" s="13" t="s">
        <v>365</v>
      </c>
      <c r="F391" s="14" t="str">
        <f>INDEX('Woolworths Products'!$B$2:$B$208,MATCH($E391,'Woolworths Products'!$A$2:$A$208,0))</f>
        <v>Salted Butter 250 g</v>
      </c>
      <c r="G391" s="15">
        <v>180</v>
      </c>
      <c r="H391" s="14" t="str">
        <f>INDEX('Woolworths Products'!$G$2:$G$208,MATCH($E391,'Woolworths Products'!$A$2:$A$208,0))</f>
        <v>g</v>
      </c>
      <c r="I391" s="14">
        <f>INDEX('Woolworths Products'!$F$2:$F$208,MATCH($E391,'Woolworths Products'!$A$2:$A$208,0))</f>
        <v>250</v>
      </c>
      <c r="J391" s="14">
        <f>INDEX('Woolworths Products'!$E$2:$E$208,MATCH($E391,'Woolworths Products'!$A$2:$A$208,0))</f>
        <v>68.989999999999995</v>
      </c>
      <c r="K391" s="5">
        <f>IF(COUNTIFS($A$2:A391,A391,$E$2:E391,E391)=1,ROUNDUP(SUMIFS($G:$G,$A:$A,A391,$E:$E,E391)/I391,0),0)</f>
        <v>1</v>
      </c>
      <c r="L391" s="5">
        <f t="shared" si="42"/>
        <v>68.989999999999995</v>
      </c>
      <c r="M391" s="5">
        <f t="shared" si="43"/>
        <v>49.672799999999995</v>
      </c>
      <c r="N391" s="9"/>
    </row>
    <row r="392" spans="1:14" x14ac:dyDescent="0.2">
      <c r="A392" s="12" t="s">
        <v>66</v>
      </c>
      <c r="B392" s="12" t="s">
        <v>17</v>
      </c>
      <c r="C392" s="12" t="s">
        <v>918</v>
      </c>
      <c r="D392" s="12" t="s">
        <v>298</v>
      </c>
      <c r="E392" s="13" t="s">
        <v>357</v>
      </c>
      <c r="F392" s="14" t="str">
        <f>INDEX('Woolworths Products'!$B$2:$B$208,MATCH($E392,'Woolworths Products'!$A$2:$A$208,0))</f>
        <v>White Sugar 1 kg</v>
      </c>
      <c r="G392" s="15">
        <v>100</v>
      </c>
      <c r="H392" s="14" t="str">
        <f>INDEX('Woolworths Products'!$G$2:$G$208,MATCH($E392,'Woolworths Products'!$A$2:$A$208,0))</f>
        <v>g</v>
      </c>
      <c r="I392" s="14">
        <f>INDEX('Woolworths Products'!$F$2:$F$208,MATCH($E392,'Woolworths Products'!$A$2:$A$208,0))</f>
        <v>1000</v>
      </c>
      <c r="J392" s="14">
        <f>INDEX('Woolworths Products'!$E$2:$E$208,MATCH($E392,'Woolworths Products'!$A$2:$A$208,0))</f>
        <v>33.99</v>
      </c>
      <c r="K392" s="5">
        <f>IF(COUNTIFS($A$2:A392,A392,$E$2:E392,E392)=1,ROUNDUP(SUMIFS($G:$G,$A:$A,A392,$E:$E,E392)/I392,0),0)</f>
        <v>1</v>
      </c>
      <c r="L392" s="5">
        <f t="shared" si="42"/>
        <v>33.99</v>
      </c>
      <c r="M392" s="5">
        <f t="shared" si="43"/>
        <v>3.3990000000000005</v>
      </c>
      <c r="N392" s="9"/>
    </row>
    <row r="393" spans="1:14" x14ac:dyDescent="0.2">
      <c r="A393" s="12" t="s">
        <v>66</v>
      </c>
      <c r="B393" s="12" t="s">
        <v>17</v>
      </c>
      <c r="C393" s="12" t="s">
        <v>919</v>
      </c>
      <c r="D393" s="12" t="s">
        <v>298</v>
      </c>
      <c r="E393" s="13" t="s">
        <v>353</v>
      </c>
      <c r="F393" s="14" t="str">
        <f>INDEX('Woolworths Products'!$B$2:$B$208,MATCH($E393,'Woolworths Products'!$A$2:$A$208,0))</f>
        <v>Cake Wheat Flour 1 kg</v>
      </c>
      <c r="G393" s="15">
        <v>125</v>
      </c>
      <c r="H393" s="14" t="str">
        <f>INDEX('Woolworths Products'!$G$2:$G$208,MATCH($E393,'Woolworths Products'!$A$2:$A$208,0))</f>
        <v>g</v>
      </c>
      <c r="I393" s="14">
        <f>INDEX('Woolworths Products'!$F$2:$F$208,MATCH($E393,'Woolworths Products'!$A$2:$A$208,0))</f>
        <v>1000</v>
      </c>
      <c r="J393" s="14">
        <f>INDEX('Woolworths Products'!$E$2:$E$208,MATCH($E393,'Woolworths Products'!$A$2:$A$208,0))</f>
        <v>21.99</v>
      </c>
      <c r="K393" s="5">
        <f>IF(COUNTIFS($A$2:A393,A393,$E$2:E393,E393)=1,ROUNDUP(SUMIFS($G:$G,$A:$A,A393,$E:$E,E393)/I393,0),0)</f>
        <v>1</v>
      </c>
      <c r="L393" s="5">
        <f t="shared" si="42"/>
        <v>21.99</v>
      </c>
      <c r="M393" s="5">
        <f t="shared" si="43"/>
        <v>2.7487499999999998</v>
      </c>
      <c r="N393" s="9"/>
    </row>
    <row r="394" spans="1:14" x14ac:dyDescent="0.2">
      <c r="A394" s="12" t="s">
        <v>66</v>
      </c>
      <c r="B394" s="12" t="s">
        <v>17</v>
      </c>
      <c r="C394" s="12" t="s">
        <v>784</v>
      </c>
      <c r="D394" s="12" t="s">
        <v>298</v>
      </c>
      <c r="E394" s="13" t="s">
        <v>785</v>
      </c>
      <c r="F394" s="14" t="str">
        <f>INDEX('Woolworths Products'!$B$2:$B$208,MATCH($E394,'Woolworths Products'!$A$2:$A$208,0))</f>
        <v>Jungle Oats 1 kg</v>
      </c>
      <c r="G394" s="15">
        <v>90</v>
      </c>
      <c r="H394" s="14" t="str">
        <f>INDEX('Woolworths Products'!$G$2:$G$208,MATCH($E394,'Woolworths Products'!$A$2:$A$208,0))</f>
        <v>g</v>
      </c>
      <c r="I394" s="14">
        <f>INDEX('Woolworths Products'!$F$2:$F$208,MATCH($E394,'Woolworths Products'!$A$2:$A$208,0))</f>
        <v>1000</v>
      </c>
      <c r="J394" s="14">
        <f>INDEX('Woolworths Products'!$E$2:$E$208,MATCH($E394,'Woolworths Products'!$A$2:$A$208,0))</f>
        <v>39.99</v>
      </c>
      <c r="K394" s="5">
        <f>IF(COUNTIFS($A$2:A394,A394,$E$2:E394,E394)=1,ROUNDUP(SUMIFS($G:$G,$A:$A,A394,$E:$E,E394)/I394,0),0)</f>
        <v>1</v>
      </c>
      <c r="L394" s="5">
        <f t="shared" si="42"/>
        <v>39.99</v>
      </c>
      <c r="M394" s="5">
        <f t="shared" si="43"/>
        <v>3.5991</v>
      </c>
      <c r="N394" s="9"/>
    </row>
    <row r="395" spans="1:14" x14ac:dyDescent="0.2">
      <c r="A395" s="12" t="s">
        <v>66</v>
      </c>
      <c r="B395" s="12" t="s">
        <v>17</v>
      </c>
      <c r="C395" s="12" t="s">
        <v>920</v>
      </c>
      <c r="D395" s="12" t="s">
        <v>298</v>
      </c>
      <c r="E395" s="13" t="s">
        <v>921</v>
      </c>
      <c r="F395" s="14" t="str">
        <f>INDEX('Woolworths Products'!$B$2:$B$208,MATCH($E395,'Woolworths Products'!$A$2:$A$208,0))</f>
        <v>Desiccated Coconut 200 g</v>
      </c>
      <c r="G395" s="15">
        <v>80</v>
      </c>
      <c r="H395" s="14" t="str">
        <f>INDEX('Woolworths Products'!$G$2:$G$208,MATCH($E395,'Woolworths Products'!$A$2:$A$208,0))</f>
        <v>g</v>
      </c>
      <c r="I395" s="14">
        <f>INDEX('Woolworths Products'!$F$2:$F$208,MATCH($E395,'Woolworths Products'!$A$2:$A$208,0))</f>
        <v>200</v>
      </c>
      <c r="J395" s="14">
        <f>INDEX('Woolworths Products'!$E$2:$E$208,MATCH($E395,'Woolworths Products'!$A$2:$A$208,0))</f>
        <v>42.99</v>
      </c>
      <c r="K395" s="5">
        <f>IF(COUNTIFS($A$2:A395,A395,$E$2:E395,E395)=1,ROUNDUP(SUMIFS($G:$G,$A:$A,A395,$E:$E,E395)/I395,0),0)</f>
        <v>1</v>
      </c>
      <c r="L395" s="5">
        <f t="shared" si="42"/>
        <v>42.99</v>
      </c>
      <c r="M395" s="5">
        <f t="shared" si="43"/>
        <v>17.196000000000002</v>
      </c>
      <c r="N395" s="9"/>
    </row>
    <row r="396" spans="1:14" x14ac:dyDescent="0.2">
      <c r="A396" s="12" t="s">
        <v>66</v>
      </c>
      <c r="B396" s="12" t="s">
        <v>17</v>
      </c>
      <c r="C396" s="12" t="s">
        <v>922</v>
      </c>
      <c r="D396" s="12" t="s">
        <v>298</v>
      </c>
      <c r="E396" s="13" t="s">
        <v>359</v>
      </c>
      <c r="F396" s="14" t="str">
        <f>INDEX('Woolworths Products'!$B$2:$B$208,MATCH($E396,'Woolworths Products'!$A$2:$A$208,0))</f>
        <v>Baking Powder 100 g</v>
      </c>
      <c r="G396" s="15">
        <v>2</v>
      </c>
      <c r="H396" s="14" t="str">
        <f>INDEX('Woolworths Products'!$G$2:$G$208,MATCH($E396,'Woolworths Products'!$A$2:$A$208,0))</f>
        <v>g</v>
      </c>
      <c r="I396" s="14">
        <f>INDEX('Woolworths Products'!$F$2:$F$208,MATCH($E396,'Woolworths Products'!$A$2:$A$208,0))</f>
        <v>100</v>
      </c>
      <c r="J396" s="14">
        <f>INDEX('Woolworths Products'!$E$2:$E$208,MATCH($E396,'Woolworths Products'!$A$2:$A$208,0))</f>
        <v>34.99</v>
      </c>
      <c r="K396" s="5">
        <f>IF(COUNTIFS($A$2:A396,A396,$E$2:E396,E396)=1,ROUNDUP(SUMIFS($G:$G,$A:$A,A396,$E:$E,E396)/I396,0),0)</f>
        <v>1</v>
      </c>
      <c r="L396" s="5">
        <f t="shared" si="42"/>
        <v>34.99</v>
      </c>
      <c r="M396" s="5">
        <f t="shared" si="43"/>
        <v>0.69980000000000009</v>
      </c>
      <c r="N396" s="9"/>
    </row>
    <row r="397" spans="1:14" x14ac:dyDescent="0.2">
      <c r="A397" s="12" t="s">
        <v>66</v>
      </c>
      <c r="B397" s="12" t="s">
        <v>17</v>
      </c>
      <c r="C397" s="12" t="s">
        <v>923</v>
      </c>
      <c r="D397" s="12" t="s">
        <v>298</v>
      </c>
      <c r="E397" s="13" t="s">
        <v>467</v>
      </c>
      <c r="F397" s="14" t="str">
        <f>INDEX('Woolworths Products'!$B$2:$B$208,MATCH($E397,'Woolworths Products'!$A$2:$A$208,0))</f>
        <v>Unsweetened Cocoa Powder 150 g</v>
      </c>
      <c r="G397" s="15">
        <v>14</v>
      </c>
      <c r="H397" s="14" t="str">
        <f>INDEX('Woolworths Products'!$G$2:$G$208,MATCH($E397,'Woolworths Products'!$A$2:$A$208,0))</f>
        <v>g</v>
      </c>
      <c r="I397" s="14">
        <f>INDEX('Woolworths Products'!$F$2:$F$208,MATCH($E397,'Woolworths Products'!$A$2:$A$208,0))</f>
        <v>150</v>
      </c>
      <c r="J397" s="14">
        <f>INDEX('Woolworths Products'!$E$2:$E$208,MATCH($E397,'Woolworths Products'!$A$2:$A$208,0))</f>
        <v>84.99</v>
      </c>
      <c r="K397" s="5">
        <f>IF(COUNTIFS($A$2:A397,A397,$E$2:E397,E397)=1,ROUNDUP(SUMIFS($G:$G,$A:$A,A397,$E:$E,E397)/I397,0),0)</f>
        <v>1</v>
      </c>
      <c r="L397" s="5">
        <f t="shared" si="42"/>
        <v>84.99</v>
      </c>
      <c r="M397" s="5">
        <f t="shared" si="43"/>
        <v>7.9323999999999995</v>
      </c>
      <c r="N397" s="9"/>
    </row>
    <row r="398" spans="1:14" x14ac:dyDescent="0.2">
      <c r="A398" s="12" t="s">
        <v>66</v>
      </c>
      <c r="B398" s="12" t="s">
        <v>17</v>
      </c>
      <c r="C398" s="12" t="s">
        <v>924</v>
      </c>
      <c r="D398" s="12" t="s">
        <v>298</v>
      </c>
      <c r="E398" s="13" t="s">
        <v>925</v>
      </c>
      <c r="F398" s="14" t="str">
        <f>INDEX('Woolworths Products'!$B$2:$B$208,MATCH($E398,'Woolworths Products'!$A$2:$A$208,0))</f>
        <v>27 % Cocoa Milk Chocolate Drops 200 g</v>
      </c>
      <c r="G398" s="15">
        <v>45</v>
      </c>
      <c r="H398" s="14" t="str">
        <f>INDEX('Woolworths Products'!$G$2:$G$208,MATCH($E398,'Woolworths Products'!$A$2:$A$208,0))</f>
        <v>g</v>
      </c>
      <c r="I398" s="14">
        <f>INDEX('Woolworths Products'!$F$2:$F$208,MATCH($E398,'Woolworths Products'!$A$2:$A$208,0))</f>
        <v>200</v>
      </c>
      <c r="J398" s="14">
        <f>INDEX('Woolworths Products'!$E$2:$E$208,MATCH($E398,'Woolworths Products'!$A$2:$A$208,0))</f>
        <v>119.99</v>
      </c>
      <c r="K398" s="5">
        <f>IF(COUNTIFS($A$2:A398,A398,$E$2:E398,E398)=1,ROUNDUP(SUMIFS($G:$G,$A:$A,A398,$E:$E,E398)/I398,0),0)</f>
        <v>1</v>
      </c>
      <c r="L398" s="5">
        <f t="shared" si="42"/>
        <v>119.99</v>
      </c>
      <c r="M398" s="5">
        <f t="shared" si="43"/>
        <v>26.99775</v>
      </c>
      <c r="N398" s="9"/>
    </row>
    <row r="399" spans="1:14" x14ac:dyDescent="0.2">
      <c r="A399" s="12" t="s">
        <v>67</v>
      </c>
      <c r="B399" s="12" t="s">
        <v>11</v>
      </c>
      <c r="C399" s="12" t="s">
        <v>926</v>
      </c>
      <c r="D399" s="12" t="s">
        <v>298</v>
      </c>
      <c r="E399" s="13" t="s">
        <v>927</v>
      </c>
      <c r="F399" s="14" t="str">
        <f>INDEX('Woolworths Products'!$B$2:$B$208,MATCH($E399,'Woolworths Products'!$A$2:$A$208,0))</f>
        <v>Frozen Lightly Smoked Haddock Portions 500 g</v>
      </c>
      <c r="G399" s="15">
        <v>500</v>
      </c>
      <c r="H399" s="14" t="str">
        <f>INDEX('Woolworths Products'!$G$2:$G$208,MATCH($E399,'Woolworths Products'!$A$2:$A$208,0))</f>
        <v>g</v>
      </c>
      <c r="I399" s="14">
        <f>INDEX('Woolworths Products'!$F$2:$F$208,MATCH($E399,'Woolworths Products'!$A$2:$A$208,0))</f>
        <v>500</v>
      </c>
      <c r="J399" s="14">
        <f>INDEX('Woolworths Products'!$E$2:$E$208,MATCH($E399,'Woolworths Products'!$A$2:$A$208,0))</f>
        <v>179.99</v>
      </c>
      <c r="K399" s="5">
        <f>IF(COUNTIFS($A$2:A399,A399,$E$2:E399,E399)=1,ROUNDUP(SUMIFS($G:$G,$A:$A,A399,$E:$E,E399)/I399,0),0)</f>
        <v>1</v>
      </c>
      <c r="L399" s="5">
        <f t="shared" si="42"/>
        <v>179.99</v>
      </c>
      <c r="M399" s="5">
        <f t="shared" si="43"/>
        <v>179.99</v>
      </c>
      <c r="N399" s="9"/>
    </row>
    <row r="400" spans="1:14" x14ac:dyDescent="0.2">
      <c r="A400" s="12" t="s">
        <v>67</v>
      </c>
      <c r="B400" s="12" t="s">
        <v>11</v>
      </c>
      <c r="C400" s="12" t="s">
        <v>928</v>
      </c>
      <c r="D400" s="12" t="s">
        <v>298</v>
      </c>
      <c r="E400" s="13" t="s">
        <v>611</v>
      </c>
      <c r="F400" s="14" t="str">
        <f>INDEX('Woolworths Products'!$B$2:$B$208,MATCH($E400,'Woolworths Products'!$A$2:$A$208,0))</f>
        <v>Long Life Low Fat Milk 1 L</v>
      </c>
      <c r="G400" s="15">
        <v>250</v>
      </c>
      <c r="H400" s="14" t="str">
        <f>INDEX('Woolworths Products'!$G$2:$G$208,MATCH($E400,'Woolworths Products'!$A$2:$A$208,0))</f>
        <v>ml</v>
      </c>
      <c r="I400" s="14">
        <f>INDEX('Woolworths Products'!$F$2:$F$208,MATCH($E400,'Woolworths Products'!$A$2:$A$208,0))</f>
        <v>1000</v>
      </c>
      <c r="J400" s="14">
        <f>INDEX('Woolworths Products'!$E$2:$E$208,MATCH($E400,'Woolworths Products'!$A$2:$A$208,0))</f>
        <v>22.99</v>
      </c>
      <c r="K400" s="5">
        <f>IF(COUNTIFS($A$2:A400,A400,$E$2:E400,E400)=1,ROUNDUP(SUMIFS($G:$G,$A:$A,A400,$E:$E,E400)/I400,0),0)</f>
        <v>1</v>
      </c>
      <c r="L400" s="5">
        <f t="shared" si="42"/>
        <v>22.99</v>
      </c>
      <c r="M400" s="5">
        <f t="shared" si="43"/>
        <v>5.7474999999999996</v>
      </c>
      <c r="N400" s="9"/>
    </row>
    <row r="401" spans="1:14" x14ac:dyDescent="0.2">
      <c r="A401" s="12" t="s">
        <v>67</v>
      </c>
      <c r="B401" s="12" t="s">
        <v>11</v>
      </c>
      <c r="C401" s="12" t="s">
        <v>929</v>
      </c>
      <c r="D401" s="12" t="s">
        <v>298</v>
      </c>
      <c r="E401" s="13" t="s">
        <v>930</v>
      </c>
      <c r="F401" s="14" t="str">
        <f>INDEX('Woolworths Products'!$B$2:$B$208,MATCH($E401,'Woolworths Products'!$A$2:$A$208,0))</f>
        <v>Maizena Cornflour 500 g</v>
      </c>
      <c r="G401" s="15">
        <v>8</v>
      </c>
      <c r="H401" s="14" t="str">
        <f>INDEX('Woolworths Products'!$G$2:$G$208,MATCH($E401,'Woolworths Products'!$A$2:$A$208,0))</f>
        <v>g</v>
      </c>
      <c r="I401" s="14">
        <f>INDEX('Woolworths Products'!$F$2:$F$208,MATCH($E401,'Woolworths Products'!$A$2:$A$208,0))</f>
        <v>500</v>
      </c>
      <c r="J401" s="14">
        <f>INDEX('Woolworths Products'!$E$2:$E$208,MATCH($E401,'Woolworths Products'!$A$2:$A$208,0))</f>
        <v>41.99</v>
      </c>
      <c r="K401" s="5">
        <f>IF(COUNTIFS($A$2:A401,A401,$E$2:E401,E401)=1,ROUNDUP(SUMIFS($G:$G,$A:$A,A401,$E:$E,E401)/I401,0),0)</f>
        <v>1</v>
      </c>
      <c r="L401" s="5">
        <f t="shared" si="42"/>
        <v>41.99</v>
      </c>
      <c r="M401" s="5">
        <f t="shared" si="43"/>
        <v>0.67183999999999999</v>
      </c>
      <c r="N401" s="9"/>
    </row>
    <row r="402" spans="1:14" x14ac:dyDescent="0.2">
      <c r="A402" s="12" t="s">
        <v>67</v>
      </c>
      <c r="B402" s="12" t="s">
        <v>11</v>
      </c>
      <c r="C402" s="12" t="s">
        <v>931</v>
      </c>
      <c r="D402" s="12" t="s">
        <v>298</v>
      </c>
      <c r="E402" s="13" t="s">
        <v>932</v>
      </c>
      <c r="F402" s="14" t="str">
        <f>INDEX('Woolworths Products'!$B$2:$B$208,MATCH($E402,'Woolworths Products'!$A$2:$A$208,0))</f>
        <v>Grated Mozzarella Cheese 250 g</v>
      </c>
      <c r="G402" s="15">
        <v>50</v>
      </c>
      <c r="H402" s="14" t="str">
        <f>INDEX('Woolworths Products'!$G$2:$G$208,MATCH($E402,'Woolworths Products'!$A$2:$A$208,0))</f>
        <v>g</v>
      </c>
      <c r="I402" s="14">
        <f>INDEX('Woolworths Products'!$F$2:$F$208,MATCH($E402,'Woolworths Products'!$A$2:$A$208,0))</f>
        <v>250</v>
      </c>
      <c r="J402" s="14">
        <f>INDEX('Woolworths Products'!$E$2:$E$208,MATCH($E402,'Woolworths Products'!$A$2:$A$208,0))</f>
        <v>74.989999999999995</v>
      </c>
      <c r="K402" s="5">
        <f>IF(COUNTIFS($A$2:A402,A402,$E$2:E402,E402)=1,ROUNDUP(SUMIFS($G:$G,$A:$A,A402,$E:$E,E402)/I402,0),0)</f>
        <v>1</v>
      </c>
      <c r="L402" s="5">
        <f t="shared" si="42"/>
        <v>74.989999999999995</v>
      </c>
      <c r="M402" s="5">
        <f t="shared" si="43"/>
        <v>14.997999999999999</v>
      </c>
      <c r="N402" s="9"/>
    </row>
    <row r="403" spans="1:14" x14ac:dyDescent="0.2">
      <c r="A403" s="12" t="s">
        <v>67</v>
      </c>
      <c r="B403" s="12" t="s">
        <v>11</v>
      </c>
      <c r="C403" s="12" t="s">
        <v>933</v>
      </c>
      <c r="D403" s="12" t="s">
        <v>298</v>
      </c>
      <c r="E403" s="13" t="s">
        <v>424</v>
      </c>
      <c r="F403" s="14" t="str">
        <f>INDEX('Woolworths Products'!$B$2:$B$208,MATCH($E403,'Woolworths Products'!$A$2:$A$208,0))</f>
        <v>Fresh Chives 20 g</v>
      </c>
      <c r="G403" s="15">
        <v>0.5</v>
      </c>
      <c r="H403" s="14" t="str">
        <f>INDEX('Woolworths Products'!$G$2:$G$208,MATCH($E403,'Woolworths Products'!$A$2:$A$208,0))</f>
        <v>punnet</v>
      </c>
      <c r="I403" s="14">
        <f>INDEX('Woolworths Products'!$F$2:$F$208,MATCH($E403,'Woolworths Products'!$A$2:$A$208,0))</f>
        <v>1</v>
      </c>
      <c r="J403" s="14">
        <f>INDEX('Woolworths Products'!$E$2:$E$208,MATCH($E403,'Woolworths Products'!$A$2:$A$208,0))</f>
        <v>15.99</v>
      </c>
      <c r="K403" s="5">
        <f>IF(COUNTIFS($A$2:A403,A403,$E$2:E403,E403)=1,ROUNDUP(SUMIFS($G:$G,$A:$A,A403,$E:$E,E403)/I403,0),0)</f>
        <v>1</v>
      </c>
      <c r="L403" s="5">
        <f t="shared" si="42"/>
        <v>15.99</v>
      </c>
      <c r="M403" s="5">
        <f t="shared" si="43"/>
        <v>7.9950000000000001</v>
      </c>
      <c r="N403" s="9"/>
    </row>
    <row r="404" spans="1:14" x14ac:dyDescent="0.2">
      <c r="A404" s="12" t="s">
        <v>68</v>
      </c>
      <c r="B404" s="12" t="s">
        <v>22</v>
      </c>
      <c r="C404" s="12" t="s">
        <v>934</v>
      </c>
      <c r="D404" s="12" t="s">
        <v>298</v>
      </c>
      <c r="E404" s="13" t="s">
        <v>486</v>
      </c>
      <c r="F404" s="14" t="str">
        <f>INDEX('Woolworths Products'!$B$2:$B$208,MATCH($E404,'Woolworths Products'!$A$2:$A$208,0))</f>
        <v>Fresh Basil 30 g</v>
      </c>
      <c r="G404" s="15">
        <v>1</v>
      </c>
      <c r="H404" s="14" t="str">
        <f>INDEX('Woolworths Products'!$G$2:$G$208,MATCH($E404,'Woolworths Products'!$A$2:$A$208,0))</f>
        <v>punnet</v>
      </c>
      <c r="I404" s="14">
        <f>INDEX('Woolworths Products'!$F$2:$F$208,MATCH($E404,'Woolworths Products'!$A$2:$A$208,0))</f>
        <v>1</v>
      </c>
      <c r="J404" s="14">
        <f>INDEX('Woolworths Products'!$E$2:$E$208,MATCH($E404,'Woolworths Products'!$A$2:$A$208,0))</f>
        <v>15.99</v>
      </c>
      <c r="K404" s="5">
        <f>IF(COUNTIFS($A$2:A404,A404,$E$2:E404,E404)=1,ROUNDUP(SUMIFS($G:$G,$A:$A,A404,$E:$E,E404)/I404,0),0)</f>
        <v>1</v>
      </c>
      <c r="L404" s="5">
        <f t="shared" si="42"/>
        <v>15.99</v>
      </c>
      <c r="M404" s="5">
        <f t="shared" si="43"/>
        <v>15.99</v>
      </c>
      <c r="N404" s="9" t="s">
        <v>935</v>
      </c>
    </row>
    <row r="405" spans="1:14" x14ac:dyDescent="0.2">
      <c r="A405" s="12" t="s">
        <v>68</v>
      </c>
      <c r="B405" s="12" t="s">
        <v>22</v>
      </c>
      <c r="C405" s="12" t="s">
        <v>936</v>
      </c>
      <c r="D405" s="12" t="s">
        <v>298</v>
      </c>
      <c r="E405" s="13" t="s">
        <v>409</v>
      </c>
      <c r="F405" s="14" t="str">
        <f>INDEX('Woolworths Products'!$B$2:$B$208,MATCH($E405,'Woolworths Products'!$A$2:$A$208,0))</f>
        <v>Fresh Coriander 30 g</v>
      </c>
      <c r="G405" s="15">
        <v>1</v>
      </c>
      <c r="H405" s="14" t="str">
        <f>INDEX('Woolworths Products'!$G$2:$G$208,MATCH($E405,'Woolworths Products'!$A$2:$A$208,0))</f>
        <v>punnet</v>
      </c>
      <c r="I405" s="14">
        <f>INDEX('Woolworths Products'!$F$2:$F$208,MATCH($E405,'Woolworths Products'!$A$2:$A$208,0))</f>
        <v>1</v>
      </c>
      <c r="J405" s="14">
        <f>INDEX('Woolworths Products'!$E$2:$E$208,MATCH($E405,'Woolworths Products'!$A$2:$A$208,0))</f>
        <v>15.99</v>
      </c>
      <c r="K405" s="5">
        <f>IF(COUNTIFS($A$2:A405,A405,$E$2:E405,E405)=1,ROUNDUP(SUMIFS($G:$G,$A:$A,A405,$E:$E,E405)/I405,0),0)</f>
        <v>1</v>
      </c>
      <c r="L405" s="5">
        <f t="shared" si="42"/>
        <v>15.99</v>
      </c>
      <c r="M405" s="5">
        <f t="shared" si="43"/>
        <v>15.99</v>
      </c>
      <c r="N405" s="9"/>
    </row>
    <row r="406" spans="1:14" x14ac:dyDescent="0.2">
      <c r="A406" s="12" t="s">
        <v>68</v>
      </c>
      <c r="B406" s="12" t="s">
        <v>22</v>
      </c>
      <c r="C406" s="12" t="s">
        <v>937</v>
      </c>
      <c r="D406" s="12" t="s">
        <v>298</v>
      </c>
      <c r="E406" s="13" t="s">
        <v>382</v>
      </c>
      <c r="F406" s="14" t="str">
        <f>INDEX('Woolworths Products'!$B$2:$B$208,MATCH($E406,'Woolworths Products'!$A$2:$A$208,0))</f>
        <v>Fresh Parsley 30 g</v>
      </c>
      <c r="G406" s="15">
        <v>1</v>
      </c>
      <c r="H406" s="14" t="str">
        <f>INDEX('Woolworths Products'!$G$2:$G$208,MATCH($E406,'Woolworths Products'!$A$2:$A$208,0))</f>
        <v>punnet</v>
      </c>
      <c r="I406" s="14">
        <f>INDEX('Woolworths Products'!$F$2:$F$208,MATCH($E406,'Woolworths Products'!$A$2:$A$208,0))</f>
        <v>1</v>
      </c>
      <c r="J406" s="14">
        <f>INDEX('Woolworths Products'!$E$2:$E$208,MATCH($E406,'Woolworths Products'!$A$2:$A$208,0))</f>
        <v>15.99</v>
      </c>
      <c r="K406" s="5">
        <f>IF(COUNTIFS($A$2:A406,A406,$E$2:E406,E406)=1,ROUNDUP(SUMIFS($G:$G,$A:$A,A406,$E:$E,E406)/I406,0),0)</f>
        <v>1</v>
      </c>
      <c r="L406" s="5">
        <f t="shared" si="42"/>
        <v>15.99</v>
      </c>
      <c r="M406" s="5">
        <f t="shared" si="43"/>
        <v>15.99</v>
      </c>
      <c r="N406" s="9"/>
    </row>
    <row r="407" spans="1:14" x14ac:dyDescent="0.2">
      <c r="A407" s="12" t="s">
        <v>68</v>
      </c>
      <c r="B407" s="12" t="s">
        <v>22</v>
      </c>
      <c r="C407" s="12" t="s">
        <v>938</v>
      </c>
      <c r="D407" s="12" t="s">
        <v>298</v>
      </c>
      <c r="E407" s="13" t="s">
        <v>672</v>
      </c>
      <c r="F407" s="14" t="str">
        <f>INDEX('Woolworths Products'!$B$2:$B$208,MATCH($E407,'Woolworths Products'!$A$2:$A$208,0))</f>
        <v>Fresh Mint 20 g</v>
      </c>
      <c r="G407" s="15">
        <v>1</v>
      </c>
      <c r="H407" s="14" t="str">
        <f>INDEX('Woolworths Products'!$G$2:$G$208,MATCH($E407,'Woolworths Products'!$A$2:$A$208,0))</f>
        <v>punnet</v>
      </c>
      <c r="I407" s="14">
        <f>INDEX('Woolworths Products'!$F$2:$F$208,MATCH($E407,'Woolworths Products'!$A$2:$A$208,0))</f>
        <v>1</v>
      </c>
      <c r="J407" s="14">
        <f>INDEX('Woolworths Products'!$E$2:$E$208,MATCH($E407,'Woolworths Products'!$A$2:$A$208,0))</f>
        <v>15.99</v>
      </c>
      <c r="K407" s="5">
        <f>IF(COUNTIFS($A$2:A407,A407,$E$2:E407,E407)=1,ROUNDUP(SUMIFS($G:$G,$A:$A,A407,$E:$E,E407)/I407,0),0)</f>
        <v>1</v>
      </c>
      <c r="L407" s="5">
        <f t="shared" si="42"/>
        <v>15.99</v>
      </c>
      <c r="M407" s="5">
        <f t="shared" si="43"/>
        <v>15.99</v>
      </c>
      <c r="N407" s="9"/>
    </row>
    <row r="408" spans="1:14" x14ac:dyDescent="0.2">
      <c r="A408" s="12" t="s">
        <v>68</v>
      </c>
      <c r="B408" s="12" t="s">
        <v>22</v>
      </c>
      <c r="C408" s="12" t="s">
        <v>939</v>
      </c>
      <c r="D408" s="12" t="s">
        <v>298</v>
      </c>
      <c r="E408" s="13" t="s">
        <v>448</v>
      </c>
      <c r="F408" s="14" t="str">
        <f>INDEX('Woolworths Products'!$B$2:$B$208,MATCH($E408,'Woolworths Products'!$A$2:$A$208,0))</f>
        <v>Ripen at Home Loose Avocado</v>
      </c>
      <c r="G408" s="15">
        <v>1</v>
      </c>
      <c r="H408" s="14" t="str">
        <f>INDEX('Woolworths Products'!$G$2:$G$208,MATCH($E408,'Woolworths Products'!$A$2:$A$208,0))</f>
        <v>ea</v>
      </c>
      <c r="I408" s="14">
        <f>INDEX('Woolworths Products'!$F$2:$F$208,MATCH($E408,'Woolworths Products'!$A$2:$A$208,0))</f>
        <v>1</v>
      </c>
      <c r="J408" s="14">
        <f>INDEX('Woolworths Products'!$E$2:$E$208,MATCH($E408,'Woolworths Products'!$A$2:$A$208,0))</f>
        <v>19.989999999999998</v>
      </c>
      <c r="K408" s="5">
        <f>IF(COUNTIFS($A$2:A408,A408,$E$2:E408,E408)=1,ROUNDUP(SUMIFS($G:$G,$A:$A,A408,$E:$E,E408)/I408,0),0)</f>
        <v>1</v>
      </c>
      <c r="L408" s="5">
        <f t="shared" si="42"/>
        <v>19.989999999999998</v>
      </c>
      <c r="M408" s="5">
        <f t="shared" si="43"/>
        <v>19.989999999999998</v>
      </c>
      <c r="N408" s="9"/>
    </row>
    <row r="409" spans="1:14" x14ac:dyDescent="0.2">
      <c r="A409" s="12" t="s">
        <v>68</v>
      </c>
      <c r="B409" s="12" t="s">
        <v>22</v>
      </c>
      <c r="C409" s="12" t="s">
        <v>940</v>
      </c>
      <c r="D409" s="12" t="s">
        <v>298</v>
      </c>
      <c r="E409" s="13" t="s">
        <v>941</v>
      </c>
      <c r="F409" s="14" t="str">
        <f>INDEX('Woolworths Products'!$B$2:$B$208,MATCH($E409,'Woolworths Products'!$A$2:$A$208,0))</f>
        <v>Hot Green Finger Chillies 50 g</v>
      </c>
      <c r="G409" s="15">
        <v>1</v>
      </c>
      <c r="H409" s="14" t="str">
        <f>INDEX('Woolworths Products'!$G$2:$G$208,MATCH($E409,'Woolworths Products'!$A$2:$A$208,0))</f>
        <v>ea</v>
      </c>
      <c r="I409" s="14">
        <f>INDEX('Woolworths Products'!$F$2:$F$208,MATCH($E409,'Woolworths Products'!$A$2:$A$208,0))</f>
        <v>8</v>
      </c>
      <c r="J409" s="14">
        <f>INDEX('Woolworths Products'!$E$2:$E$208,MATCH($E409,'Woolworths Products'!$A$2:$A$208,0))</f>
        <v>15.99</v>
      </c>
      <c r="K409" s="5">
        <f>IF(COUNTIFS($A$2:A409,A409,$E$2:E409,E409)=1,ROUNDUP(SUMIFS($G:$G,$A:$A,A409,$E:$E,E409)/I409,0),0)</f>
        <v>1</v>
      </c>
      <c r="L409" s="5">
        <f t="shared" si="42"/>
        <v>15.99</v>
      </c>
      <c r="M409" s="5">
        <f t="shared" si="43"/>
        <v>1.99875</v>
      </c>
      <c r="N409" s="9" t="s">
        <v>942</v>
      </c>
    </row>
    <row r="410" spans="1:14" x14ac:dyDescent="0.2">
      <c r="A410" s="12" t="s">
        <v>68</v>
      </c>
      <c r="B410" s="12" t="s">
        <v>22</v>
      </c>
      <c r="C410" s="12" t="s">
        <v>943</v>
      </c>
      <c r="D410" s="12" t="s">
        <v>298</v>
      </c>
      <c r="E410" s="13" t="s">
        <v>377</v>
      </c>
      <c r="F410" s="14" t="str">
        <f>INDEX('Woolworths Products'!$B$2:$B$208,MATCH($E410,'Woolworths Products'!$A$2:$A$208,0))</f>
        <v>Fresh Peeled Garlic 50 g</v>
      </c>
      <c r="G410" s="15">
        <v>1</v>
      </c>
      <c r="H410" s="14" t="str">
        <f>INDEX('Woolworths Products'!$G$2:$G$208,MATCH($E410,'Woolworths Products'!$A$2:$A$208,0))</f>
        <v>clove</v>
      </c>
      <c r="I410" s="14">
        <f>INDEX('Woolworths Products'!$F$2:$F$208,MATCH($E410,'Woolworths Products'!$A$2:$A$208,0))</f>
        <v>10</v>
      </c>
      <c r="J410" s="14">
        <f>INDEX('Woolworths Products'!$E$2:$E$208,MATCH($E410,'Woolworths Products'!$A$2:$A$208,0))</f>
        <v>29.99</v>
      </c>
      <c r="K410" s="5">
        <f>IF(COUNTIFS($A$2:A410,A410,$E$2:E410,E410)=1,ROUNDUP(SUMIFS($G:$G,$A:$A,A410,$E:$E,E410)/I410,0),0)</f>
        <v>1</v>
      </c>
      <c r="L410" s="5">
        <f t="shared" si="42"/>
        <v>29.99</v>
      </c>
      <c r="M410" s="5">
        <f t="shared" si="43"/>
        <v>2.9990000000000001</v>
      </c>
      <c r="N410" s="9" t="s">
        <v>378</v>
      </c>
    </row>
    <row r="411" spans="1:14" x14ac:dyDescent="0.2">
      <c r="A411" s="12" t="s">
        <v>68</v>
      </c>
      <c r="B411" s="12" t="s">
        <v>22</v>
      </c>
      <c r="C411" s="12" t="s">
        <v>944</v>
      </c>
      <c r="D411" s="12" t="s">
        <v>298</v>
      </c>
      <c r="E411" s="13" t="s">
        <v>404</v>
      </c>
      <c r="F411" s="14" t="str">
        <f>INDEX('Woolworths Products'!$B$2:$B$208,MATCH($E411,'Woolworths Products'!$A$2:$A$208,0))</f>
        <v>Red Onions 1 kg</v>
      </c>
      <c r="G411" s="15">
        <v>100</v>
      </c>
      <c r="H411" s="14" t="str">
        <f>INDEX('Woolworths Products'!$G$2:$G$208,MATCH($E411,'Woolworths Products'!$A$2:$A$208,0))</f>
        <v>g</v>
      </c>
      <c r="I411" s="14">
        <f>INDEX('Woolworths Products'!$F$2:$F$208,MATCH($E411,'Woolworths Products'!$A$2:$A$208,0))</f>
        <v>1000</v>
      </c>
      <c r="J411" s="14">
        <f>INDEX('Woolworths Products'!$E$2:$E$208,MATCH($E411,'Woolworths Products'!$A$2:$A$208,0))</f>
        <v>73.989999999999995</v>
      </c>
      <c r="K411" s="5">
        <f>IF(COUNTIFS($A$2:A411,A411,$E$2:E411,E411)=1,ROUNDUP(SUMIFS($G:$G,$A:$A,A411,$E:$E,E411)/I411,0),0)</f>
        <v>1</v>
      </c>
      <c r="L411" s="5">
        <f t="shared" si="42"/>
        <v>73.989999999999995</v>
      </c>
      <c r="M411" s="5">
        <f t="shared" si="43"/>
        <v>7.399</v>
      </c>
      <c r="N411" s="9" t="s">
        <v>405</v>
      </c>
    </row>
    <row r="412" spans="1:14" x14ac:dyDescent="0.2">
      <c r="A412" s="13" t="s">
        <v>68</v>
      </c>
      <c r="B412" s="13" t="s">
        <v>22</v>
      </c>
      <c r="C412" s="13" t="s">
        <v>393</v>
      </c>
      <c r="D412" s="13" t="s">
        <v>349</v>
      </c>
      <c r="E412" s="13"/>
      <c r="L412" s="5">
        <v>0</v>
      </c>
      <c r="M412" s="5">
        <v>0</v>
      </c>
      <c r="N412" s="9" t="s">
        <v>393</v>
      </c>
    </row>
    <row r="413" spans="1:14" x14ac:dyDescent="0.2">
      <c r="A413" s="13" t="s">
        <v>68</v>
      </c>
      <c r="B413" s="13" t="s">
        <v>22</v>
      </c>
      <c r="C413" s="13" t="s">
        <v>590</v>
      </c>
      <c r="D413" s="13" t="s">
        <v>349</v>
      </c>
      <c r="E413" s="13"/>
      <c r="L413" s="5">
        <v>0</v>
      </c>
      <c r="M413" s="5">
        <v>0</v>
      </c>
      <c r="N413" s="9" t="s">
        <v>348</v>
      </c>
    </row>
    <row r="414" spans="1:14" x14ac:dyDescent="0.2">
      <c r="A414" s="12" t="s">
        <v>68</v>
      </c>
      <c r="B414" s="12" t="s">
        <v>22</v>
      </c>
      <c r="C414" s="12" t="s">
        <v>945</v>
      </c>
      <c r="D414" s="12" t="s">
        <v>298</v>
      </c>
      <c r="E414" s="13" t="s">
        <v>599</v>
      </c>
      <c r="F414" s="14" t="str">
        <f>INDEX('Woolworths Products'!$B$2:$B$208,MATCH($E414,'Woolworths Products'!$A$2:$A$208,0))</f>
        <v>Canola Oil 750 ml</v>
      </c>
      <c r="G414" s="15">
        <v>83</v>
      </c>
      <c r="H414" s="14" t="str">
        <f>INDEX('Woolworths Products'!$G$2:$G$208,MATCH($E414,'Woolworths Products'!$A$2:$A$208,0))</f>
        <v>ml</v>
      </c>
      <c r="I414" s="14">
        <f>INDEX('Woolworths Products'!$F$2:$F$208,MATCH($E414,'Woolworths Products'!$A$2:$A$208,0))</f>
        <v>750</v>
      </c>
      <c r="J414" s="14">
        <f>INDEX('Woolworths Products'!$E$2:$E$208,MATCH($E414,'Woolworths Products'!$A$2:$A$208,0))</f>
        <v>39.99</v>
      </c>
      <c r="K414" s="5">
        <f>IF(COUNTIFS($A$2:A414,A414,$E$2:E414,E414)=1,ROUNDUP(SUMIFS($G:$G,$A:$A,A414,$E:$E,E414)/I414,0),0)</f>
        <v>1</v>
      </c>
      <c r="L414" s="5">
        <f t="shared" ref="L414:L423" si="44">K414*J414</f>
        <v>39.99</v>
      </c>
      <c r="M414" s="5">
        <f t="shared" ref="M414:M423" si="45">G414/I414*J414</f>
        <v>4.4255599999999999</v>
      </c>
      <c r="N414" s="9" t="s">
        <v>946</v>
      </c>
    </row>
    <row r="415" spans="1:14" x14ac:dyDescent="0.2">
      <c r="A415" s="12" t="s">
        <v>68</v>
      </c>
      <c r="B415" s="12" t="s">
        <v>22</v>
      </c>
      <c r="C415" s="12" t="s">
        <v>750</v>
      </c>
      <c r="D415" s="12" t="s">
        <v>298</v>
      </c>
      <c r="E415" s="13" t="s">
        <v>323</v>
      </c>
      <c r="F415" s="14" t="str">
        <f>INDEX('Woolworths Products'!$B$2:$B$208,MATCH($E415,'Woolworths Products'!$A$2:$A$208,0))</f>
        <v>Lemons 3 pk</v>
      </c>
      <c r="G415" s="15">
        <v>1</v>
      </c>
      <c r="H415" s="14" t="str">
        <f>INDEX('Woolworths Products'!$G$2:$G$208,MATCH($E415,'Woolworths Products'!$A$2:$A$208,0))</f>
        <v>ea</v>
      </c>
      <c r="I415" s="14">
        <f>INDEX('Woolworths Products'!$F$2:$F$208,MATCH($E415,'Woolworths Products'!$A$2:$A$208,0))</f>
        <v>3</v>
      </c>
      <c r="J415" s="14">
        <f>INDEX('Woolworths Products'!$E$2:$E$208,MATCH($E415,'Woolworths Products'!$A$2:$A$208,0))</f>
        <v>27.99</v>
      </c>
      <c r="K415" s="5">
        <f>IF(COUNTIFS($A$2:A415,A415,$E$2:E415,E415)=1,ROUNDUP(SUMIFS($G:$G,$A:$A,A415,$E:$E,E415)/I415,0),0)</f>
        <v>1</v>
      </c>
      <c r="L415" s="5">
        <f t="shared" si="44"/>
        <v>27.99</v>
      </c>
      <c r="M415" s="5">
        <f t="shared" si="45"/>
        <v>9.3299999999999983</v>
      </c>
      <c r="N415" s="9"/>
    </row>
    <row r="416" spans="1:14" x14ac:dyDescent="0.2">
      <c r="A416" s="16" t="s">
        <v>69</v>
      </c>
      <c r="B416" s="16" t="s">
        <v>50</v>
      </c>
      <c r="C416" s="16" t="s">
        <v>947</v>
      </c>
      <c r="D416" s="16" t="s">
        <v>298</v>
      </c>
      <c r="E416" s="17" t="s">
        <v>948</v>
      </c>
      <c r="F416" s="18" t="str">
        <f>INDEX('Woolworths Products'!$B$2:$B$208,MATCH($E416,'Woolworths Products'!$A$2:$A$208,0))</f>
        <v>Whole Cauliflower Avg 500 g</v>
      </c>
      <c r="G416" s="19">
        <v>1</v>
      </c>
      <c r="H416" s="18" t="str">
        <f>INDEX('Woolworths Products'!$G$2:$G$208,MATCH($E416,'Woolworths Products'!$A$2:$A$208,0))</f>
        <v>ea</v>
      </c>
      <c r="I416" s="18">
        <f>INDEX('Woolworths Products'!$F$2:$F$208,MATCH($E416,'Woolworths Products'!$A$2:$A$208,0))</f>
        <v>1</v>
      </c>
      <c r="J416" s="18">
        <f>INDEX('Woolworths Products'!$E$2:$E$208,MATCH($E416,'Woolworths Products'!$A$2:$A$208,0))</f>
        <v>36</v>
      </c>
      <c r="K416" s="20">
        <f>IF(COUNTIFS($A$2:A416,A416,$E$2:E416,E416)=1,ROUNDUP(SUMIFS($G:$G,$A:$A,A416,$E:$E,E416)/I416,0),0)</f>
        <v>1</v>
      </c>
      <c r="L416" s="20">
        <f t="shared" si="44"/>
        <v>36</v>
      </c>
      <c r="M416" s="20">
        <f t="shared" si="45"/>
        <v>36</v>
      </c>
      <c r="N416" s="21" t="s">
        <v>949</v>
      </c>
    </row>
    <row r="417" spans="1:14" x14ac:dyDescent="0.2">
      <c r="A417" s="16" t="s">
        <v>69</v>
      </c>
      <c r="B417" s="16" t="s">
        <v>50</v>
      </c>
      <c r="C417" s="16" t="s">
        <v>950</v>
      </c>
      <c r="D417" s="16" t="s">
        <v>298</v>
      </c>
      <c r="E417" s="17" t="s">
        <v>803</v>
      </c>
      <c r="F417" s="18" t="str">
        <f>INDEX('Woolworths Products'!$B$2:$B$208,MATCH($E417,'Woolworths Products'!$A$2:$A$208,0))</f>
        <v>Single Red Pepper</v>
      </c>
      <c r="G417" s="19">
        <v>1</v>
      </c>
      <c r="H417" s="18" t="str">
        <f>INDEX('Woolworths Products'!$G$2:$G$208,MATCH($E417,'Woolworths Products'!$A$2:$A$208,0))</f>
        <v>ea</v>
      </c>
      <c r="I417" s="18">
        <f>INDEX('Woolworths Products'!$F$2:$F$208,MATCH($E417,'Woolworths Products'!$A$2:$A$208,0))</f>
        <v>1</v>
      </c>
      <c r="J417" s="18">
        <f>INDEX('Woolworths Products'!$E$2:$E$208,MATCH($E417,'Woolworths Products'!$A$2:$A$208,0))</f>
        <v>19.989999999999998</v>
      </c>
      <c r="K417" s="20">
        <f>IF(COUNTIFS($A$2:A417,A417,$E$2:E417,E417)=1,ROUNDUP(SUMIFS($G:$G,$A:$A,A417,$E:$E,E417)/I417,0),0)</f>
        <v>1</v>
      </c>
      <c r="L417" s="20">
        <f t="shared" si="44"/>
        <v>19.989999999999998</v>
      </c>
      <c r="M417" s="20">
        <f t="shared" si="45"/>
        <v>19.989999999999998</v>
      </c>
      <c r="N417" s="21" t="s">
        <v>951</v>
      </c>
    </row>
    <row r="418" spans="1:14" x14ac:dyDescent="0.2">
      <c r="A418" s="12" t="s">
        <v>69</v>
      </c>
      <c r="B418" s="12" t="s">
        <v>50</v>
      </c>
      <c r="C418" s="12" t="s">
        <v>952</v>
      </c>
      <c r="D418" s="12" t="s">
        <v>298</v>
      </c>
      <c r="E418" s="13" t="s">
        <v>843</v>
      </c>
      <c r="F418" s="14" t="str">
        <f>INDEX('Woolworths Products'!$B$2:$B$208,MATCH($E418,'Woolworths Products'!$A$2:$A$208,0))</f>
        <v>Single Yellow Pepper</v>
      </c>
      <c r="G418" s="15">
        <v>1</v>
      </c>
      <c r="H418" s="14" t="str">
        <f>INDEX('Woolworths Products'!$G$2:$G$208,MATCH($E418,'Woolworths Products'!$A$2:$A$208,0))</f>
        <v>ea</v>
      </c>
      <c r="I418" s="14">
        <f>INDEX('Woolworths Products'!$F$2:$F$208,MATCH($E418,'Woolworths Products'!$A$2:$A$208,0))</f>
        <v>1</v>
      </c>
      <c r="J418" s="14">
        <f>INDEX('Woolworths Products'!$E$2:$E$208,MATCH($E418,'Woolworths Products'!$A$2:$A$208,0))</f>
        <v>19.989999999999998</v>
      </c>
      <c r="K418" s="5">
        <f>IF(COUNTIFS($A$2:A418,A418,$E$2:E418,E418)=1,ROUNDUP(SUMIFS($G:$G,$A:$A,A418,$E:$E,E418)/I418,0),0)</f>
        <v>1</v>
      </c>
      <c r="L418" s="5">
        <f t="shared" si="44"/>
        <v>19.989999999999998</v>
      </c>
      <c r="M418" s="5">
        <f t="shared" si="45"/>
        <v>19.989999999999998</v>
      </c>
      <c r="N418" s="9"/>
    </row>
    <row r="419" spans="1:14" x14ac:dyDescent="0.2">
      <c r="A419" s="16" t="s">
        <v>69</v>
      </c>
      <c r="B419" s="16" t="s">
        <v>50</v>
      </c>
      <c r="C419" s="16" t="s">
        <v>953</v>
      </c>
      <c r="D419" s="16" t="s">
        <v>298</v>
      </c>
      <c r="E419" s="17" t="s">
        <v>954</v>
      </c>
      <c r="F419" s="18" t="str">
        <f>INDEX('Woolworths Products'!$B$2:$B$208,MATCH($E419,'Woolworths Products'!$A$2:$A$208,0))</f>
        <v>Rosa Tomatoes 200 g</v>
      </c>
      <c r="G419" s="19">
        <v>1</v>
      </c>
      <c r="H419" s="18" t="str">
        <f>INDEX('Woolworths Products'!$G$2:$G$208,MATCH($E419,'Woolworths Products'!$A$2:$A$208,0))</f>
        <v>ea</v>
      </c>
      <c r="I419" s="18">
        <f>INDEX('Woolworths Products'!$F$2:$F$208,MATCH($E419,'Woolworths Products'!$A$2:$A$208,0))</f>
        <v>1</v>
      </c>
      <c r="J419" s="18">
        <f>INDEX('Woolworths Products'!$E$2:$E$208,MATCH($E419,'Woolworths Products'!$A$2:$A$208,0))</f>
        <v>28.99</v>
      </c>
      <c r="K419" s="20">
        <f>IF(COUNTIFS($A$2:A419,A419,$E$2:E419,E419)=1,ROUNDUP(SUMIFS($G:$G,$A:$A,A419,$E:$E,E419)/I419,0),0)</f>
        <v>1</v>
      </c>
      <c r="L419" s="20">
        <f t="shared" si="44"/>
        <v>28.99</v>
      </c>
      <c r="M419" s="20">
        <f t="shared" si="45"/>
        <v>28.99</v>
      </c>
      <c r="N419" s="21" t="s">
        <v>741</v>
      </c>
    </row>
    <row r="420" spans="1:14" x14ac:dyDescent="0.2">
      <c r="A420" s="16" t="s">
        <v>69</v>
      </c>
      <c r="B420" s="16" t="s">
        <v>50</v>
      </c>
      <c r="C420" s="16" t="s">
        <v>775</v>
      </c>
      <c r="D420" s="16" t="s">
        <v>298</v>
      </c>
      <c r="E420" s="17" t="s">
        <v>301</v>
      </c>
      <c r="F420" s="18" t="str">
        <f>INDEX('Woolworths Products'!$B$2:$B$208,MATCH($E420,'Woolworths Products'!$A$2:$A$208,0))</f>
        <v>Baby Marrows 350 g</v>
      </c>
      <c r="G420" s="19">
        <v>350</v>
      </c>
      <c r="H420" s="18" t="str">
        <f>INDEX('Woolworths Products'!$G$2:$G$208,MATCH($E420,'Woolworths Products'!$A$2:$A$208,0))</f>
        <v>g</v>
      </c>
      <c r="I420" s="18">
        <f>INDEX('Woolworths Products'!$F$2:$F$208,MATCH($E420,'Woolworths Products'!$A$2:$A$208,0))</f>
        <v>350</v>
      </c>
      <c r="J420" s="18">
        <f>INDEX('Woolworths Products'!$E$2:$E$208,MATCH($E420,'Woolworths Products'!$A$2:$A$208,0))</f>
        <v>32.99</v>
      </c>
      <c r="K420" s="20">
        <f>IF(COUNTIFS($A$2:A420,A420,$E$2:E420,E420)=1,ROUNDUP(SUMIFS($G:$G,$A:$A,A420,$E:$E,E420)/I420,0),0)</f>
        <v>1</v>
      </c>
      <c r="L420" s="20">
        <f t="shared" si="44"/>
        <v>32.99</v>
      </c>
      <c r="M420" s="20">
        <f t="shared" si="45"/>
        <v>32.99</v>
      </c>
      <c r="N420" s="21" t="s">
        <v>955</v>
      </c>
    </row>
    <row r="421" spans="1:14" x14ac:dyDescent="0.2">
      <c r="A421" s="12" t="s">
        <v>69</v>
      </c>
      <c r="B421" s="12" t="s">
        <v>50</v>
      </c>
      <c r="C421" s="12" t="s">
        <v>956</v>
      </c>
      <c r="D421" s="12" t="s">
        <v>298</v>
      </c>
      <c r="E421" s="13" t="s">
        <v>456</v>
      </c>
      <c r="F421" s="14" t="str">
        <f>INDEX('Woolworths Products'!$B$2:$B$208,MATCH($E421,'Woolworths Products'!$A$2:$A$208,0))</f>
        <v>Chickpeas in Brine 400 g</v>
      </c>
      <c r="G421" s="15">
        <v>2</v>
      </c>
      <c r="H421" s="14" t="str">
        <f>INDEX('Woolworths Products'!$G$2:$G$208,MATCH($E421,'Woolworths Products'!$A$2:$A$208,0))</f>
        <v>ea</v>
      </c>
      <c r="I421" s="14">
        <f>INDEX('Woolworths Products'!$F$2:$F$208,MATCH($E421,'Woolworths Products'!$A$2:$A$208,0))</f>
        <v>1</v>
      </c>
      <c r="J421" s="14">
        <f>INDEX('Woolworths Products'!$E$2:$E$208,MATCH($E421,'Woolworths Products'!$A$2:$A$208,0))</f>
        <v>28.99</v>
      </c>
      <c r="K421" s="5">
        <f>IF(COUNTIFS($A$2:A421,A421,$E$2:E421,E421)=1,ROUNDUP(SUMIFS($G:$G,$A:$A,A421,$E:$E,E421)/I421,0),0)</f>
        <v>2</v>
      </c>
      <c r="L421" s="5">
        <f t="shared" si="44"/>
        <v>57.98</v>
      </c>
      <c r="M421" s="5">
        <f t="shared" si="45"/>
        <v>57.98</v>
      </c>
      <c r="N421" s="9"/>
    </row>
    <row r="422" spans="1:14" x14ac:dyDescent="0.2">
      <c r="A422" s="16" t="s">
        <v>69</v>
      </c>
      <c r="B422" s="16" t="s">
        <v>50</v>
      </c>
      <c r="C422" s="16" t="s">
        <v>957</v>
      </c>
      <c r="D422" s="16" t="s">
        <v>298</v>
      </c>
      <c r="E422" s="17" t="s">
        <v>404</v>
      </c>
      <c r="F422" s="18" t="str">
        <f>INDEX('Woolworths Products'!$B$2:$B$208,MATCH($E422,'Woolworths Products'!$A$2:$A$208,0))</f>
        <v>Red Onions 1 kg</v>
      </c>
      <c r="G422" s="19">
        <v>300</v>
      </c>
      <c r="H422" s="18" t="str">
        <f>INDEX('Woolworths Products'!$G$2:$G$208,MATCH($E422,'Woolworths Products'!$A$2:$A$208,0))</f>
        <v>g</v>
      </c>
      <c r="I422" s="18">
        <f>INDEX('Woolworths Products'!$F$2:$F$208,MATCH($E422,'Woolworths Products'!$A$2:$A$208,0))</f>
        <v>1000</v>
      </c>
      <c r="J422" s="18">
        <f>INDEX('Woolworths Products'!$E$2:$E$208,MATCH($E422,'Woolworths Products'!$A$2:$A$208,0))</f>
        <v>73.989999999999995</v>
      </c>
      <c r="K422" s="20">
        <f>IF(COUNTIFS($A$2:A422,A422,$E$2:E422,E422)=1,ROUNDUP(SUMIFS($G:$G,$A:$A,A422,$E:$E,E422)/I422,0),0)</f>
        <v>1</v>
      </c>
      <c r="L422" s="20">
        <f t="shared" si="44"/>
        <v>73.989999999999995</v>
      </c>
      <c r="M422" s="20">
        <f t="shared" si="45"/>
        <v>22.196999999999999</v>
      </c>
      <c r="N422" s="21" t="s">
        <v>958</v>
      </c>
    </row>
    <row r="423" spans="1:14" x14ac:dyDescent="0.2">
      <c r="A423" s="12" t="s">
        <v>69</v>
      </c>
      <c r="B423" s="12" t="s">
        <v>50</v>
      </c>
      <c r="C423" s="12" t="s">
        <v>345</v>
      </c>
      <c r="D423" s="12" t="s">
        <v>298</v>
      </c>
      <c r="E423" s="13" t="s">
        <v>323</v>
      </c>
      <c r="F423" s="14" t="str">
        <f>INDEX('Woolworths Products'!$B$2:$B$208,MATCH($E423,'Woolworths Products'!$A$2:$A$208,0))</f>
        <v>Lemons 3 pk</v>
      </c>
      <c r="G423" s="15">
        <v>1</v>
      </c>
      <c r="H423" s="14" t="str">
        <f>INDEX('Woolworths Products'!$G$2:$G$208,MATCH($E423,'Woolworths Products'!$A$2:$A$208,0))</f>
        <v>ea</v>
      </c>
      <c r="I423" s="14">
        <f>INDEX('Woolworths Products'!$F$2:$F$208,MATCH($E423,'Woolworths Products'!$A$2:$A$208,0))</f>
        <v>3</v>
      </c>
      <c r="J423" s="14">
        <f>INDEX('Woolworths Products'!$E$2:$E$208,MATCH($E423,'Woolworths Products'!$A$2:$A$208,0))</f>
        <v>27.99</v>
      </c>
      <c r="K423" s="5">
        <f>IF(COUNTIFS($A$2:A423,A423,$E$2:E423,E423)=1,ROUNDUP(SUMIFS($G:$G,$A:$A,A423,$E:$E,E423)/I423,0),0)</f>
        <v>1</v>
      </c>
      <c r="L423" s="5">
        <f t="shared" si="44"/>
        <v>27.99</v>
      </c>
      <c r="M423" s="5">
        <f t="shared" si="45"/>
        <v>9.3299999999999983</v>
      </c>
      <c r="N423" s="9"/>
    </row>
    <row r="424" spans="1:14" x14ac:dyDescent="0.2">
      <c r="A424" s="13" t="s">
        <v>69</v>
      </c>
      <c r="B424" s="13" t="s">
        <v>50</v>
      </c>
      <c r="C424" s="13" t="s">
        <v>422</v>
      </c>
      <c r="D424" s="13" t="s">
        <v>349</v>
      </c>
      <c r="E424" s="13"/>
      <c r="L424" s="5">
        <v>0</v>
      </c>
      <c r="M424" s="5">
        <v>0</v>
      </c>
      <c r="N424" s="9" t="s">
        <v>422</v>
      </c>
    </row>
    <row r="425" spans="1:14" x14ac:dyDescent="0.2">
      <c r="A425" s="16" t="s">
        <v>69</v>
      </c>
      <c r="B425" s="16" t="s">
        <v>50</v>
      </c>
      <c r="C425" s="16" t="s">
        <v>648</v>
      </c>
      <c r="D425" s="16" t="s">
        <v>298</v>
      </c>
      <c r="E425" s="17" t="s">
        <v>330</v>
      </c>
      <c r="F425" s="18" t="str">
        <f>INDEX('Woolworths Products'!$B$2:$B$208,MATCH($E425,'Woolworths Products'!$A$2:$A$208,0))</f>
        <v>Prince Albert Extra Virgin Olive Oil 250 ml</v>
      </c>
      <c r="G425" s="19">
        <v>30</v>
      </c>
      <c r="H425" s="18" t="str">
        <f>INDEX('Woolworths Products'!$G$2:$G$208,MATCH($E425,'Woolworths Products'!$A$2:$A$208,0))</f>
        <v>ml</v>
      </c>
      <c r="I425" s="18">
        <f>INDEX('Woolworths Products'!$F$2:$F$208,MATCH($E425,'Woolworths Products'!$A$2:$A$208,0))</f>
        <v>250</v>
      </c>
      <c r="J425" s="18">
        <f>INDEX('Woolworths Products'!$E$2:$E$208,MATCH($E425,'Woolworths Products'!$A$2:$A$208,0))</f>
        <v>109.99</v>
      </c>
      <c r="K425" s="20">
        <f>IF(COUNTIFS($A$2:A425,A425,$E$2:E425,E425)=1,ROUNDUP(SUMIFS($G:$G,$A:$A,A425,$E:$E,E425)/I425,0),0)</f>
        <v>1</v>
      </c>
      <c r="L425" s="20">
        <f t="shared" ref="L425:L443" si="46">K425*J425</f>
        <v>109.99</v>
      </c>
      <c r="M425" s="20">
        <f t="shared" ref="M425:M443" si="47">G425/I425*J425</f>
        <v>13.198799999999999</v>
      </c>
      <c r="N425" s="21" t="s">
        <v>623</v>
      </c>
    </row>
    <row r="426" spans="1:14" x14ac:dyDescent="0.2">
      <c r="A426" s="12" t="s">
        <v>69</v>
      </c>
      <c r="B426" s="12" t="s">
        <v>50</v>
      </c>
      <c r="C426" s="12" t="s">
        <v>494</v>
      </c>
      <c r="D426" s="12" t="s">
        <v>298</v>
      </c>
      <c r="E426" s="13" t="s">
        <v>495</v>
      </c>
      <c r="F426" s="14" t="str">
        <f>INDEX('Woolworths Products'!$B$2:$B$208,MATCH($E426,'Woolworths Products'!$A$2:$A$208,0))</f>
        <v>Fresh Thyme 20 g</v>
      </c>
      <c r="G426" s="15">
        <v>0.25</v>
      </c>
      <c r="H426" s="14" t="str">
        <f>INDEX('Woolworths Products'!$G$2:$G$208,MATCH($E426,'Woolworths Products'!$A$2:$A$208,0))</f>
        <v>punnet</v>
      </c>
      <c r="I426" s="14">
        <f>INDEX('Woolworths Products'!$F$2:$F$208,MATCH($E426,'Woolworths Products'!$A$2:$A$208,0))</f>
        <v>1</v>
      </c>
      <c r="J426" s="14">
        <f>INDEX('Woolworths Products'!$E$2:$E$208,MATCH($E426,'Woolworths Products'!$A$2:$A$208,0))</f>
        <v>15.99</v>
      </c>
      <c r="K426" s="5">
        <f>IF(COUNTIFS($A$2:A426,A426,$E$2:E426,E426)=1,ROUNDUP(SUMIFS($G:$G,$A:$A,A426,$E:$E,E426)/I426,0),0)</f>
        <v>1</v>
      </c>
      <c r="L426" s="5">
        <f t="shared" si="46"/>
        <v>15.99</v>
      </c>
      <c r="M426" s="5">
        <f t="shared" si="47"/>
        <v>3.9975000000000001</v>
      </c>
      <c r="N426" s="9"/>
    </row>
    <row r="427" spans="1:14" x14ac:dyDescent="0.2">
      <c r="A427" s="16" t="s">
        <v>69</v>
      </c>
      <c r="B427" s="16" t="s">
        <v>50</v>
      </c>
      <c r="C427" s="16" t="s">
        <v>959</v>
      </c>
      <c r="D427" s="16" t="s">
        <v>298</v>
      </c>
      <c r="E427" s="17" t="s">
        <v>960</v>
      </c>
      <c r="F427" s="18" t="str">
        <f>INDEX('Woolworths Products'!$B$2:$B$208,MATCH($E427,'Woolworths Products'!$A$2:$A$208,0))</f>
        <v>Fully Cooked Bulgur, Quinoa and Lentil 250 g</v>
      </c>
      <c r="G427" s="19">
        <v>2</v>
      </c>
      <c r="H427" s="18" t="str">
        <f>INDEX('Woolworths Products'!$G$2:$G$208,MATCH($E427,'Woolworths Products'!$A$2:$A$208,0))</f>
        <v>ea</v>
      </c>
      <c r="I427" s="18">
        <f>INDEX('Woolworths Products'!$F$2:$F$208,MATCH($E427,'Woolworths Products'!$A$2:$A$208,0))</f>
        <v>1</v>
      </c>
      <c r="J427" s="18">
        <f>INDEX('Woolworths Products'!$E$2:$E$208,MATCH($E427,'Woolworths Products'!$A$2:$A$208,0))</f>
        <v>39.99</v>
      </c>
      <c r="K427" s="20">
        <f>IF(COUNTIFS($A$2:A427,A427,$E$2:E427,E427)=1,ROUNDUP(SUMIFS($G:$G,$A:$A,A427,$E:$E,E427)/I427,0),0)</f>
        <v>2</v>
      </c>
      <c r="L427" s="20">
        <f t="shared" si="46"/>
        <v>79.98</v>
      </c>
      <c r="M427" s="20">
        <f t="shared" si="47"/>
        <v>79.98</v>
      </c>
      <c r="N427" s="21" t="s">
        <v>961</v>
      </c>
    </row>
    <row r="428" spans="1:14" x14ac:dyDescent="0.2">
      <c r="A428" s="16" t="s">
        <v>69</v>
      </c>
      <c r="B428" s="16" t="s">
        <v>50</v>
      </c>
      <c r="C428" s="16" t="s">
        <v>317</v>
      </c>
      <c r="D428" s="16" t="s">
        <v>298</v>
      </c>
      <c r="E428" s="17" t="s">
        <v>318</v>
      </c>
      <c r="F428" s="18" t="str">
        <f>INDEX('Woolworths Products'!$B$2:$B$208,MATCH($E428,'Woolworths Products'!$A$2:$A$208,0))</f>
        <v>Plain South African Feta Cheese 100 g</v>
      </c>
      <c r="G428" s="19">
        <v>100</v>
      </c>
      <c r="H428" s="18" t="str">
        <f>INDEX('Woolworths Products'!$G$2:$G$208,MATCH($E428,'Woolworths Products'!$A$2:$A$208,0))</f>
        <v>g</v>
      </c>
      <c r="I428" s="18">
        <f>INDEX('Woolworths Products'!$F$2:$F$208,MATCH($E428,'Woolworths Products'!$A$2:$A$208,0))</f>
        <v>100</v>
      </c>
      <c r="J428" s="18">
        <f>INDEX('Woolworths Products'!$E$2:$E$208,MATCH($E428,'Woolworths Products'!$A$2:$A$208,0))</f>
        <v>24.99</v>
      </c>
      <c r="K428" s="20">
        <f>IF(COUNTIFS($A$2:A428,A428,$E$2:E428,E428)=1,ROUNDUP(SUMIFS($G:$G,$A:$A,A428,$E:$E,E428)/I428,0),0)</f>
        <v>1</v>
      </c>
      <c r="L428" s="20">
        <f t="shared" si="46"/>
        <v>24.99</v>
      </c>
      <c r="M428" s="20">
        <f t="shared" si="47"/>
        <v>24.99</v>
      </c>
      <c r="N428" s="21" t="s">
        <v>962</v>
      </c>
    </row>
    <row r="429" spans="1:14" x14ac:dyDescent="0.2">
      <c r="A429" s="16" t="s">
        <v>69</v>
      </c>
      <c r="B429" s="16" t="s">
        <v>50</v>
      </c>
      <c r="C429" s="16" t="s">
        <v>963</v>
      </c>
      <c r="D429" s="16" t="s">
        <v>298</v>
      </c>
      <c r="E429" s="17" t="s">
        <v>749</v>
      </c>
      <c r="F429" s="18" t="str">
        <f>INDEX('Woolworths Products'!$B$2:$B$208,MATCH($E429,'Woolworths Products'!$A$2:$A$208,0))</f>
        <v>Basil Pesto 140 g</v>
      </c>
      <c r="G429" s="19">
        <v>45</v>
      </c>
      <c r="H429" s="18" t="str">
        <f>INDEX('Woolworths Products'!$G$2:$G$208,MATCH($E429,'Woolworths Products'!$A$2:$A$208,0))</f>
        <v>g</v>
      </c>
      <c r="I429" s="18">
        <f>INDEX('Woolworths Products'!$F$2:$F$208,MATCH($E429,'Woolworths Products'!$A$2:$A$208,0))</f>
        <v>140</v>
      </c>
      <c r="J429" s="18">
        <f>INDEX('Woolworths Products'!$E$2:$E$208,MATCH($E429,'Woolworths Products'!$A$2:$A$208,0))</f>
        <v>69.989999999999995</v>
      </c>
      <c r="K429" s="20">
        <f>IF(COUNTIFS($A$2:A429,A429,$E$2:E429,E429)=1,ROUNDUP(SUMIFS($G:$G,$A:$A,A429,$E:$E,E429)/I429,0),0)</f>
        <v>1</v>
      </c>
      <c r="L429" s="20">
        <f t="shared" si="46"/>
        <v>69.989999999999995</v>
      </c>
      <c r="M429" s="20">
        <f t="shared" si="47"/>
        <v>22.496785714285714</v>
      </c>
      <c r="N429" s="21" t="s">
        <v>964</v>
      </c>
    </row>
    <row r="430" spans="1:14" x14ac:dyDescent="0.2">
      <c r="A430" s="12" t="s">
        <v>70</v>
      </c>
      <c r="B430" s="12" t="s">
        <v>63</v>
      </c>
      <c r="C430" s="12" t="s">
        <v>965</v>
      </c>
      <c r="D430" s="12" t="s">
        <v>298</v>
      </c>
      <c r="E430" s="13" t="s">
        <v>966</v>
      </c>
      <c r="F430" s="14" t="str">
        <f>INDEX('Woolworths Products'!$B$2:$B$208,MATCH($E430,'Woolworths Products'!$A$2:$A$208,0))</f>
        <v>Cadbury Dairy Milk Chocolate Slab 150 g</v>
      </c>
      <c r="G430" s="15">
        <v>180</v>
      </c>
      <c r="H430" s="14" t="str">
        <f>INDEX('Woolworths Products'!$G$2:$G$208,MATCH($E430,'Woolworths Products'!$A$2:$A$208,0))</f>
        <v>g</v>
      </c>
      <c r="I430" s="14">
        <f>INDEX('Woolworths Products'!$F$2:$F$208,MATCH($E430,'Woolworths Products'!$A$2:$A$208,0))</f>
        <v>150</v>
      </c>
      <c r="J430" s="14">
        <f>INDEX('Woolworths Products'!$E$2:$E$208,MATCH($E430,'Woolworths Products'!$A$2:$A$208,0))</f>
        <v>49.99</v>
      </c>
      <c r="K430" s="5">
        <f>IF(COUNTIFS($A$2:A430,A430,$E$2:E430,E430)=1,ROUNDUP(SUMIFS($G:$G,$A:$A,A430,$E:$E,E430)/I430,0),0)</f>
        <v>2</v>
      </c>
      <c r="L430" s="5">
        <f t="shared" si="46"/>
        <v>99.98</v>
      </c>
      <c r="M430" s="5">
        <f t="shared" si="47"/>
        <v>59.988</v>
      </c>
      <c r="N430" s="9" t="s">
        <v>967</v>
      </c>
    </row>
    <row r="431" spans="1:14" x14ac:dyDescent="0.2">
      <c r="A431" s="12" t="s">
        <v>70</v>
      </c>
      <c r="B431" s="12" t="s">
        <v>63</v>
      </c>
      <c r="C431" s="12" t="s">
        <v>968</v>
      </c>
      <c r="D431" s="12" t="s">
        <v>298</v>
      </c>
      <c r="E431" s="13" t="s">
        <v>969</v>
      </c>
      <c r="F431" s="14" t="str">
        <f>INDEX('Woolworths Products'!$B$2:$B$208,MATCH($E431,'Woolworths Products'!$A$2:$A$208,0))</f>
        <v>Sea Salted Air Popped Corn 90 g</v>
      </c>
      <c r="G431" s="15">
        <v>15</v>
      </c>
      <c r="H431" s="14" t="str">
        <f>INDEX('Woolworths Products'!$G$2:$G$208,MATCH($E431,'Woolworths Products'!$A$2:$A$208,0))</f>
        <v>g</v>
      </c>
      <c r="I431" s="14">
        <f>INDEX('Woolworths Products'!$F$2:$F$208,MATCH($E431,'Woolworths Products'!$A$2:$A$208,0))</f>
        <v>90</v>
      </c>
      <c r="J431" s="14">
        <f>INDEX('Woolworths Products'!$E$2:$E$208,MATCH($E431,'Woolworths Products'!$A$2:$A$208,0))</f>
        <v>27.99</v>
      </c>
      <c r="K431" s="5">
        <f>IF(COUNTIFS($A$2:A431,A431,$E$2:E431,E431)=1,ROUNDUP(SUMIFS($G:$G,$A:$A,A431,$E:$E,E431)/I431,0),0)</f>
        <v>1</v>
      </c>
      <c r="L431" s="5">
        <f t="shared" si="46"/>
        <v>27.99</v>
      </c>
      <c r="M431" s="5">
        <f t="shared" si="47"/>
        <v>4.6649999999999991</v>
      </c>
      <c r="N431" s="9" t="s">
        <v>970</v>
      </c>
    </row>
    <row r="432" spans="1:14" x14ac:dyDescent="0.2">
      <c r="A432" s="12" t="s">
        <v>70</v>
      </c>
      <c r="B432" s="12" t="s">
        <v>63</v>
      </c>
      <c r="C432" s="12" t="s">
        <v>971</v>
      </c>
      <c r="D432" s="12" t="s">
        <v>298</v>
      </c>
      <c r="E432" s="13" t="s">
        <v>972</v>
      </c>
      <c r="F432" s="14" t="str">
        <f>INDEX('Woolworths Products'!$B$2:$B$208,MATCH($E432,'Woolworths Products'!$A$2:$A$208,0))</f>
        <v>Salted Pretzel Thins 80 g</v>
      </c>
      <c r="G432" s="15">
        <v>40</v>
      </c>
      <c r="H432" s="14" t="str">
        <f>INDEX('Woolworths Products'!$G$2:$G$208,MATCH($E432,'Woolworths Products'!$A$2:$A$208,0))</f>
        <v>g</v>
      </c>
      <c r="I432" s="14">
        <f>INDEX('Woolworths Products'!$F$2:$F$208,MATCH($E432,'Woolworths Products'!$A$2:$A$208,0))</f>
        <v>80</v>
      </c>
      <c r="J432" s="14">
        <f>INDEX('Woolworths Products'!$E$2:$E$208,MATCH($E432,'Woolworths Products'!$A$2:$A$208,0))</f>
        <v>19.989999999999998</v>
      </c>
      <c r="K432" s="5">
        <f>IF(COUNTIFS($A$2:A432,A432,$E$2:E432,E432)=1,ROUNDUP(SUMIFS($G:$G,$A:$A,A432,$E:$E,E432)/I432,0),0)</f>
        <v>1</v>
      </c>
      <c r="L432" s="5">
        <f t="shared" si="46"/>
        <v>19.989999999999998</v>
      </c>
      <c r="M432" s="5">
        <f t="shared" si="47"/>
        <v>9.9949999999999992</v>
      </c>
      <c r="N432" s="9" t="s">
        <v>973</v>
      </c>
    </row>
    <row r="433" spans="1:14" x14ac:dyDescent="0.2">
      <c r="A433" s="16" t="s">
        <v>70</v>
      </c>
      <c r="B433" s="16" t="s">
        <v>63</v>
      </c>
      <c r="C433" s="16" t="s">
        <v>974</v>
      </c>
      <c r="D433" s="16" t="s">
        <v>298</v>
      </c>
      <c r="E433" s="17" t="s">
        <v>975</v>
      </c>
      <c r="F433" s="18" t="str">
        <f>INDEX('Woolworths Products'!$B$2:$B$208,MATCH($E433,'Woolworths Products'!$A$2:$A$208,0))</f>
        <v>Nestle Smarties 70 g</v>
      </c>
      <c r="G433" s="19">
        <v>70</v>
      </c>
      <c r="H433" s="18" t="str">
        <f>INDEX('Woolworths Products'!$G$2:$G$208,MATCH($E433,'Woolworths Products'!$A$2:$A$208,0))</f>
        <v>g</v>
      </c>
      <c r="I433" s="18">
        <f>INDEX('Woolworths Products'!$F$2:$F$208,MATCH($E433,'Woolworths Products'!$A$2:$A$208,0))</f>
        <v>70</v>
      </c>
      <c r="J433" s="18">
        <f>INDEX('Woolworths Products'!$E$2:$E$208,MATCH($E433,'Woolworths Products'!$A$2:$A$208,0))</f>
        <v>22.99</v>
      </c>
      <c r="K433" s="20">
        <f>IF(COUNTIFS($A$2:A433,A433,$E$2:E433,E433)=1,ROUNDUP(SUMIFS($G:$G,$A:$A,A433,$E:$E,E433)/I433,0),0)</f>
        <v>1</v>
      </c>
      <c r="L433" s="20">
        <f t="shared" si="46"/>
        <v>22.99</v>
      </c>
      <c r="M433" s="20">
        <f t="shared" si="47"/>
        <v>22.99</v>
      </c>
      <c r="N433" s="21" t="s">
        <v>976</v>
      </c>
    </row>
    <row r="434" spans="1:14" x14ac:dyDescent="0.2">
      <c r="A434" s="16" t="s">
        <v>70</v>
      </c>
      <c r="B434" s="16" t="s">
        <v>63</v>
      </c>
      <c r="C434" s="16" t="s">
        <v>977</v>
      </c>
      <c r="D434" s="16" t="s">
        <v>298</v>
      </c>
      <c r="E434" s="17" t="s">
        <v>978</v>
      </c>
      <c r="F434" s="18" t="str">
        <f>INDEX('Woolworths Products'!$B$2:$B$208,MATCH($E434,'Woolworths Products'!$A$2:$A$208,0))</f>
        <v>Unicorn Medley Sprinkles 40 g</v>
      </c>
      <c r="G434" s="19">
        <v>5</v>
      </c>
      <c r="H434" s="18" t="str">
        <f>INDEX('Woolworths Products'!$G$2:$G$208,MATCH($E434,'Woolworths Products'!$A$2:$A$208,0))</f>
        <v>g</v>
      </c>
      <c r="I434" s="18">
        <f>INDEX('Woolworths Products'!$F$2:$F$208,MATCH($E434,'Woolworths Products'!$A$2:$A$208,0))</f>
        <v>40</v>
      </c>
      <c r="J434" s="18">
        <f>INDEX('Woolworths Products'!$E$2:$E$208,MATCH($E434,'Woolworths Products'!$A$2:$A$208,0))</f>
        <v>47.99</v>
      </c>
      <c r="K434" s="20">
        <f>IF(COUNTIFS($A$2:A434,A434,$E$2:E434,E434)=1,ROUNDUP(SUMIFS($G:$G,$A:$A,A434,$E:$E,E434)/I434,0),0)</f>
        <v>1</v>
      </c>
      <c r="L434" s="20">
        <f t="shared" si="46"/>
        <v>47.99</v>
      </c>
      <c r="M434" s="20">
        <f t="shared" si="47"/>
        <v>5.9987500000000002</v>
      </c>
      <c r="N434" s="21" t="s">
        <v>416</v>
      </c>
    </row>
    <row r="435" spans="1:14" x14ac:dyDescent="0.2">
      <c r="A435" s="12" t="s">
        <v>71</v>
      </c>
      <c r="B435" s="12" t="s">
        <v>48</v>
      </c>
      <c r="C435" s="12" t="s">
        <v>979</v>
      </c>
      <c r="D435" s="12" t="s">
        <v>298</v>
      </c>
      <c r="E435" s="13" t="s">
        <v>794</v>
      </c>
      <c r="F435" s="14" t="str">
        <f>INDEX('Woolworths Products'!$B$2:$B$208,MATCH($E435,'Woolworths Products'!$A$2:$A$208,0))</f>
        <v>Organic Bananas Min 800 g</v>
      </c>
      <c r="G435" s="15">
        <v>3</v>
      </c>
      <c r="H435" s="14" t="str">
        <f>INDEX('Woolworths Products'!$G$2:$G$208,MATCH($E435,'Woolworths Products'!$A$2:$A$208,0))</f>
        <v>ea</v>
      </c>
      <c r="I435" s="14">
        <f>INDEX('Woolworths Products'!$F$2:$F$208,MATCH($E435,'Woolworths Products'!$A$2:$A$208,0))</f>
        <v>6</v>
      </c>
      <c r="J435" s="14">
        <f>INDEX('Woolworths Products'!$E$2:$E$208,MATCH($E435,'Woolworths Products'!$A$2:$A$208,0))</f>
        <v>25.99</v>
      </c>
      <c r="K435" s="5">
        <f>IF(COUNTIFS($A$2:A435,A435,$E$2:E435,E435)=1,ROUNDUP(SUMIFS($G:$G,$A:$A,A435,$E:$E,E435)/I435,0),0)</f>
        <v>1</v>
      </c>
      <c r="L435" s="5">
        <f t="shared" si="46"/>
        <v>25.99</v>
      </c>
      <c r="M435" s="5">
        <f t="shared" si="47"/>
        <v>12.994999999999999</v>
      </c>
      <c r="N435" s="9" t="s">
        <v>795</v>
      </c>
    </row>
    <row r="436" spans="1:14" x14ac:dyDescent="0.2">
      <c r="A436" s="12" t="s">
        <v>71</v>
      </c>
      <c r="B436" s="12" t="s">
        <v>48</v>
      </c>
      <c r="C436" s="12" t="s">
        <v>339</v>
      </c>
      <c r="D436" s="12" t="s">
        <v>298</v>
      </c>
      <c r="E436" s="13" t="s">
        <v>311</v>
      </c>
      <c r="F436" s="14" t="str">
        <f>INDEX('Woolworths Products'!$B$2:$B$208,MATCH($E436,'Woolworths Products'!$A$2:$A$208,0))</f>
        <v>Free Range Mixed Sizes Chilled Eggs 6 pk</v>
      </c>
      <c r="G436" s="15">
        <v>2</v>
      </c>
      <c r="H436" s="14" t="str">
        <f>INDEX('Woolworths Products'!$G$2:$G$208,MATCH($E436,'Woolworths Products'!$A$2:$A$208,0))</f>
        <v>ea</v>
      </c>
      <c r="I436" s="14">
        <f>INDEX('Woolworths Products'!$F$2:$F$208,MATCH($E436,'Woolworths Products'!$A$2:$A$208,0))</f>
        <v>6</v>
      </c>
      <c r="J436" s="14">
        <f>INDEX('Woolworths Products'!$E$2:$E$208,MATCH($E436,'Woolworths Products'!$A$2:$A$208,0))</f>
        <v>29.99</v>
      </c>
      <c r="K436" s="5">
        <f>IF(COUNTIFS($A$2:A436,A436,$E$2:E436,E436)=1,ROUNDUP(SUMIFS($G:$G,$A:$A,A436,$E:$E,E436)/I436,0),0)</f>
        <v>1</v>
      </c>
      <c r="L436" s="5">
        <f t="shared" si="46"/>
        <v>29.99</v>
      </c>
      <c r="M436" s="5">
        <f t="shared" si="47"/>
        <v>9.9966666666666661</v>
      </c>
      <c r="N436" s="9"/>
    </row>
    <row r="437" spans="1:14" x14ac:dyDescent="0.2">
      <c r="A437" s="12" t="s">
        <v>71</v>
      </c>
      <c r="B437" s="12" t="s">
        <v>48</v>
      </c>
      <c r="C437" s="12" t="s">
        <v>980</v>
      </c>
      <c r="D437" s="12" t="s">
        <v>298</v>
      </c>
      <c r="E437" s="13" t="s">
        <v>363</v>
      </c>
      <c r="F437" s="14" t="str">
        <f>INDEX('Woolworths Products'!$B$2:$B$208,MATCH($E437,'Woolworths Products'!$A$2:$A$208,0))</f>
        <v>Vanilla Essence 50 ml</v>
      </c>
      <c r="G437" s="15">
        <v>5</v>
      </c>
      <c r="H437" s="14" t="str">
        <f>INDEX('Woolworths Products'!$G$2:$G$208,MATCH($E437,'Woolworths Products'!$A$2:$A$208,0))</f>
        <v>ml</v>
      </c>
      <c r="I437" s="14">
        <f>INDEX('Woolworths Products'!$F$2:$F$208,MATCH($E437,'Woolworths Products'!$A$2:$A$208,0))</f>
        <v>50</v>
      </c>
      <c r="J437" s="14">
        <f>INDEX('Woolworths Products'!$E$2:$E$208,MATCH($E437,'Woolworths Products'!$A$2:$A$208,0))</f>
        <v>29.99</v>
      </c>
      <c r="K437" s="5">
        <f>IF(COUNTIFS($A$2:A437,A437,$E$2:E437,E437)=1,ROUNDUP(SUMIFS($G:$G,$A:$A,A437,$E:$E,E437)/I437,0),0)</f>
        <v>1</v>
      </c>
      <c r="L437" s="5">
        <f t="shared" si="46"/>
        <v>29.99</v>
      </c>
      <c r="M437" s="5">
        <f t="shared" si="47"/>
        <v>2.9990000000000001</v>
      </c>
      <c r="N437" s="9"/>
    </row>
    <row r="438" spans="1:14" x14ac:dyDescent="0.2">
      <c r="A438" s="12" t="s">
        <v>71</v>
      </c>
      <c r="B438" s="12" t="s">
        <v>48</v>
      </c>
      <c r="C438" s="12" t="s">
        <v>981</v>
      </c>
      <c r="D438" s="12" t="s">
        <v>298</v>
      </c>
      <c r="E438" s="13" t="s">
        <v>467</v>
      </c>
      <c r="F438" s="14" t="str">
        <f>INDEX('Woolworths Products'!$B$2:$B$208,MATCH($E438,'Woolworths Products'!$A$2:$A$208,0))</f>
        <v>Unsweetened Cocoa Powder 150 g</v>
      </c>
      <c r="G438" s="15">
        <v>21</v>
      </c>
      <c r="H438" s="14" t="str">
        <f>INDEX('Woolworths Products'!$G$2:$G$208,MATCH($E438,'Woolworths Products'!$A$2:$A$208,0))</f>
        <v>g</v>
      </c>
      <c r="I438" s="14">
        <f>INDEX('Woolworths Products'!$F$2:$F$208,MATCH($E438,'Woolworths Products'!$A$2:$A$208,0))</f>
        <v>150</v>
      </c>
      <c r="J438" s="14">
        <f>INDEX('Woolworths Products'!$E$2:$E$208,MATCH($E438,'Woolworths Products'!$A$2:$A$208,0))</f>
        <v>84.99</v>
      </c>
      <c r="K438" s="5">
        <f>IF(COUNTIFS($A$2:A438,A438,$E$2:E438,E438)=1,ROUNDUP(SUMIFS($G:$G,$A:$A,A438,$E:$E,E438)/I438,0),0)</f>
        <v>1</v>
      </c>
      <c r="L438" s="5">
        <f t="shared" si="46"/>
        <v>84.99</v>
      </c>
      <c r="M438" s="5">
        <f t="shared" si="47"/>
        <v>11.8986</v>
      </c>
      <c r="N438" s="9"/>
    </row>
    <row r="439" spans="1:14" x14ac:dyDescent="0.2">
      <c r="A439" s="12" t="s">
        <v>71</v>
      </c>
      <c r="B439" s="12" t="s">
        <v>48</v>
      </c>
      <c r="C439" s="12" t="s">
        <v>797</v>
      </c>
      <c r="D439" s="12" t="s">
        <v>298</v>
      </c>
      <c r="E439" s="13" t="s">
        <v>388</v>
      </c>
      <c r="F439" s="14" t="str">
        <f>INDEX('Woolworths Products'!$B$2:$B$208,MATCH($E439,'Woolworths Products'!$A$2:$A$208,0))</f>
        <v>Long Life Full Cream Milk 1 L</v>
      </c>
      <c r="G439" s="15">
        <v>250</v>
      </c>
      <c r="H439" s="14" t="str">
        <f>INDEX('Woolworths Products'!$G$2:$G$208,MATCH($E439,'Woolworths Products'!$A$2:$A$208,0))</f>
        <v>ml</v>
      </c>
      <c r="I439" s="14">
        <f>INDEX('Woolworths Products'!$F$2:$F$208,MATCH($E439,'Woolworths Products'!$A$2:$A$208,0))</f>
        <v>1000</v>
      </c>
      <c r="J439" s="14">
        <f>INDEX('Woolworths Products'!$E$2:$E$208,MATCH($E439,'Woolworths Products'!$A$2:$A$208,0))</f>
        <v>22.99</v>
      </c>
      <c r="K439" s="5">
        <f>IF(COUNTIFS($A$2:A439,A439,$E$2:E439,E439)=1,ROUNDUP(SUMIFS($G:$G,$A:$A,A439,$E:$E,E439)/I439,0),0)</f>
        <v>1</v>
      </c>
      <c r="L439" s="5">
        <f t="shared" si="46"/>
        <v>22.99</v>
      </c>
      <c r="M439" s="5">
        <f t="shared" si="47"/>
        <v>5.7474999999999996</v>
      </c>
      <c r="N439" s="9"/>
    </row>
    <row r="440" spans="1:14" x14ac:dyDescent="0.2">
      <c r="A440" s="12" t="s">
        <v>71</v>
      </c>
      <c r="B440" s="12" t="s">
        <v>48</v>
      </c>
      <c r="C440" s="12" t="s">
        <v>784</v>
      </c>
      <c r="D440" s="12" t="s">
        <v>298</v>
      </c>
      <c r="E440" s="13" t="s">
        <v>785</v>
      </c>
      <c r="F440" s="14" t="str">
        <f>INDEX('Woolworths Products'!$B$2:$B$208,MATCH($E440,'Woolworths Products'!$A$2:$A$208,0))</f>
        <v>Jungle Oats 1 kg</v>
      </c>
      <c r="G440" s="15">
        <v>90</v>
      </c>
      <c r="H440" s="14" t="str">
        <f>INDEX('Woolworths Products'!$G$2:$G$208,MATCH($E440,'Woolworths Products'!$A$2:$A$208,0))</f>
        <v>g</v>
      </c>
      <c r="I440" s="14">
        <f>INDEX('Woolworths Products'!$F$2:$F$208,MATCH($E440,'Woolworths Products'!$A$2:$A$208,0))</f>
        <v>1000</v>
      </c>
      <c r="J440" s="14">
        <f>INDEX('Woolworths Products'!$E$2:$E$208,MATCH($E440,'Woolworths Products'!$A$2:$A$208,0))</f>
        <v>39.99</v>
      </c>
      <c r="K440" s="5">
        <f>IF(COUNTIFS($A$2:A440,A440,$E$2:E440,E440)=1,ROUNDUP(SUMIFS($G:$G,$A:$A,A440,$E:$E,E440)/I440,0),0)</f>
        <v>1</v>
      </c>
      <c r="L440" s="5">
        <f t="shared" si="46"/>
        <v>39.99</v>
      </c>
      <c r="M440" s="5">
        <f t="shared" si="47"/>
        <v>3.5991</v>
      </c>
      <c r="N440" s="9"/>
    </row>
    <row r="441" spans="1:14" x14ac:dyDescent="0.2">
      <c r="A441" s="12" t="s">
        <v>71</v>
      </c>
      <c r="B441" s="12" t="s">
        <v>48</v>
      </c>
      <c r="C441" s="12" t="s">
        <v>982</v>
      </c>
      <c r="D441" s="12" t="s">
        <v>298</v>
      </c>
      <c r="E441" s="13" t="s">
        <v>353</v>
      </c>
      <c r="F441" s="14" t="str">
        <f>INDEX('Woolworths Products'!$B$2:$B$208,MATCH($E441,'Woolworths Products'!$A$2:$A$208,0))</f>
        <v>Cake Wheat Flour 1 kg</v>
      </c>
      <c r="G441" s="15">
        <v>62.5</v>
      </c>
      <c r="H441" s="14" t="str">
        <f>INDEX('Woolworths Products'!$G$2:$G$208,MATCH($E441,'Woolworths Products'!$A$2:$A$208,0))</f>
        <v>g</v>
      </c>
      <c r="I441" s="14">
        <f>INDEX('Woolworths Products'!$F$2:$F$208,MATCH($E441,'Woolworths Products'!$A$2:$A$208,0))</f>
        <v>1000</v>
      </c>
      <c r="J441" s="14">
        <f>INDEX('Woolworths Products'!$E$2:$E$208,MATCH($E441,'Woolworths Products'!$A$2:$A$208,0))</f>
        <v>21.99</v>
      </c>
      <c r="K441" s="5">
        <f>IF(COUNTIFS($A$2:A441,A441,$E$2:E441,E441)=1,ROUNDUP(SUMIFS($G:$G,$A:$A,A441,$E:$E,E441)/I441,0),0)</f>
        <v>1</v>
      </c>
      <c r="L441" s="5">
        <f t="shared" si="46"/>
        <v>21.99</v>
      </c>
      <c r="M441" s="5">
        <f t="shared" si="47"/>
        <v>1.3743749999999999</v>
      </c>
      <c r="N441" s="9"/>
    </row>
    <row r="442" spans="1:14" x14ac:dyDescent="0.2">
      <c r="A442" s="12" t="s">
        <v>71</v>
      </c>
      <c r="B442" s="12" t="s">
        <v>48</v>
      </c>
      <c r="C442" s="12" t="s">
        <v>983</v>
      </c>
      <c r="D442" s="12" t="s">
        <v>298</v>
      </c>
      <c r="E442" s="13" t="s">
        <v>921</v>
      </c>
      <c r="F442" s="14" t="str">
        <f>INDEX('Woolworths Products'!$B$2:$B$208,MATCH($E442,'Woolworths Products'!$A$2:$A$208,0))</f>
        <v>Desiccated Coconut 200 g</v>
      </c>
      <c r="G442" s="15">
        <v>40</v>
      </c>
      <c r="H442" s="14" t="str">
        <f>INDEX('Woolworths Products'!$G$2:$G$208,MATCH($E442,'Woolworths Products'!$A$2:$A$208,0))</f>
        <v>g</v>
      </c>
      <c r="I442" s="14">
        <f>INDEX('Woolworths Products'!$F$2:$F$208,MATCH($E442,'Woolworths Products'!$A$2:$A$208,0))</f>
        <v>200</v>
      </c>
      <c r="J442" s="14">
        <f>INDEX('Woolworths Products'!$E$2:$E$208,MATCH($E442,'Woolworths Products'!$A$2:$A$208,0))</f>
        <v>42.99</v>
      </c>
      <c r="K442" s="5">
        <f>IF(COUNTIFS($A$2:A442,A442,$E$2:E442,E442)=1,ROUNDUP(SUMIFS($G:$G,$A:$A,A442,$E:$E,E442)/I442,0),0)</f>
        <v>1</v>
      </c>
      <c r="L442" s="5">
        <f t="shared" si="46"/>
        <v>42.99</v>
      </c>
      <c r="M442" s="5">
        <f t="shared" si="47"/>
        <v>8.5980000000000008</v>
      </c>
      <c r="N442" s="9"/>
    </row>
    <row r="443" spans="1:14" x14ac:dyDescent="0.2">
      <c r="A443" s="12" t="s">
        <v>71</v>
      </c>
      <c r="B443" s="12" t="s">
        <v>48</v>
      </c>
      <c r="C443" s="12" t="s">
        <v>984</v>
      </c>
      <c r="D443" s="12" t="s">
        <v>298</v>
      </c>
      <c r="E443" s="13" t="s">
        <v>359</v>
      </c>
      <c r="F443" s="14" t="str">
        <f>INDEX('Woolworths Products'!$B$2:$B$208,MATCH($E443,'Woolworths Products'!$A$2:$A$208,0))</f>
        <v>Baking Powder 100 g</v>
      </c>
      <c r="G443" s="15">
        <v>10</v>
      </c>
      <c r="H443" s="14" t="str">
        <f>INDEX('Woolworths Products'!$G$2:$G$208,MATCH($E443,'Woolworths Products'!$A$2:$A$208,0))</f>
        <v>g</v>
      </c>
      <c r="I443" s="14">
        <f>INDEX('Woolworths Products'!$F$2:$F$208,MATCH($E443,'Woolworths Products'!$A$2:$A$208,0))</f>
        <v>100</v>
      </c>
      <c r="J443" s="14">
        <f>INDEX('Woolworths Products'!$E$2:$E$208,MATCH($E443,'Woolworths Products'!$A$2:$A$208,0))</f>
        <v>34.99</v>
      </c>
      <c r="K443" s="5">
        <f>IF(COUNTIFS($A$2:A443,A443,$E$2:E443,E443)=1,ROUNDUP(SUMIFS($G:$G,$A:$A,A443,$E:$E,E443)/I443,0),0)</f>
        <v>1</v>
      </c>
      <c r="L443" s="5">
        <f t="shared" si="46"/>
        <v>34.99</v>
      </c>
      <c r="M443" s="5">
        <f t="shared" si="47"/>
        <v>3.4990000000000006</v>
      </c>
      <c r="N443" s="9"/>
    </row>
    <row r="444" spans="1:14" x14ac:dyDescent="0.2">
      <c r="A444" s="13" t="s">
        <v>71</v>
      </c>
      <c r="B444" s="13" t="s">
        <v>48</v>
      </c>
      <c r="C444" s="13" t="s">
        <v>590</v>
      </c>
      <c r="D444" s="13" t="s">
        <v>349</v>
      </c>
      <c r="E444" s="13"/>
      <c r="L444" s="5">
        <v>0</v>
      </c>
      <c r="M444" s="5">
        <v>0</v>
      </c>
      <c r="N444" s="9" t="s">
        <v>348</v>
      </c>
    </row>
    <row r="445" spans="1:14" x14ac:dyDescent="0.2">
      <c r="A445" s="12" t="s">
        <v>71</v>
      </c>
      <c r="B445" s="12" t="s">
        <v>48</v>
      </c>
      <c r="C445" s="12" t="s">
        <v>985</v>
      </c>
      <c r="D445" s="12" t="s">
        <v>298</v>
      </c>
      <c r="E445" s="13" t="s">
        <v>357</v>
      </c>
      <c r="F445" s="14" t="str">
        <f>INDEX('Woolworths Products'!$B$2:$B$208,MATCH($E445,'Woolworths Products'!$A$2:$A$208,0))</f>
        <v>White Sugar 1 kg</v>
      </c>
      <c r="G445" s="15">
        <v>24</v>
      </c>
      <c r="H445" s="14" t="str">
        <f>INDEX('Woolworths Products'!$G$2:$G$208,MATCH($E445,'Woolworths Products'!$A$2:$A$208,0))</f>
        <v>g</v>
      </c>
      <c r="I445" s="14">
        <f>INDEX('Woolworths Products'!$F$2:$F$208,MATCH($E445,'Woolworths Products'!$A$2:$A$208,0))</f>
        <v>1000</v>
      </c>
      <c r="J445" s="14">
        <f>INDEX('Woolworths Products'!$E$2:$E$208,MATCH($E445,'Woolworths Products'!$A$2:$A$208,0))</f>
        <v>33.99</v>
      </c>
      <c r="K445" s="5">
        <f>IF(COUNTIFS($A$2:A445,A445,$E$2:E445,E445)=1,ROUNDUP(SUMIFS($G:$G,$A:$A,A445,$E:$E,E445)/I445,0),0)</f>
        <v>1</v>
      </c>
      <c r="L445" s="5">
        <f t="shared" ref="L445:L465" si="48">K445*J445</f>
        <v>33.99</v>
      </c>
      <c r="M445" s="5">
        <f t="shared" ref="M445:M465" si="49">G445/I445*J445</f>
        <v>0.81576000000000004</v>
      </c>
      <c r="N445" s="9"/>
    </row>
    <row r="446" spans="1:14" ht="28" x14ac:dyDescent="0.2">
      <c r="A446" s="16" t="s">
        <v>71</v>
      </c>
      <c r="B446" s="16" t="s">
        <v>48</v>
      </c>
      <c r="C446" s="16" t="s">
        <v>986</v>
      </c>
      <c r="D446" s="16" t="s">
        <v>298</v>
      </c>
      <c r="E446" s="17" t="s">
        <v>418</v>
      </c>
      <c r="F446" s="18" t="str">
        <f>INDEX('Woolworths Products'!$B$2:$B$208,MATCH($E446,'Woolworths Products'!$A$2:$A$208,0))</f>
        <v>Ayrshire Full Cream Plain Yoghurt 500 g</v>
      </c>
      <c r="G446" s="19">
        <v>150</v>
      </c>
      <c r="H446" s="18" t="str">
        <f>INDEX('Woolworths Products'!$G$2:$G$208,MATCH($E446,'Woolworths Products'!$A$2:$A$208,0))</f>
        <v>g</v>
      </c>
      <c r="I446" s="18">
        <f>INDEX('Woolworths Products'!$F$2:$F$208,MATCH($E446,'Woolworths Products'!$A$2:$A$208,0))</f>
        <v>500</v>
      </c>
      <c r="J446" s="18">
        <f>INDEX('Woolworths Products'!$E$2:$E$208,MATCH($E446,'Woolworths Products'!$A$2:$A$208,0))</f>
        <v>39.99</v>
      </c>
      <c r="K446" s="20">
        <f>IF(COUNTIFS($A$2:A446,A446,$E$2:E446,E446)=1,ROUNDUP(SUMIFS($G:$G,$A:$A,A446,$E:$E,E446)/I446,0),0)</f>
        <v>1</v>
      </c>
      <c r="L446" s="20">
        <f t="shared" si="48"/>
        <v>39.99</v>
      </c>
      <c r="M446" s="20">
        <f t="shared" si="49"/>
        <v>11.997</v>
      </c>
      <c r="N446" s="21" t="s">
        <v>987</v>
      </c>
    </row>
    <row r="447" spans="1:14" x14ac:dyDescent="0.2">
      <c r="A447" s="12" t="s">
        <v>72</v>
      </c>
      <c r="B447" s="12" t="s">
        <v>63</v>
      </c>
      <c r="C447" s="12" t="s">
        <v>988</v>
      </c>
      <c r="D447" s="12" t="s">
        <v>298</v>
      </c>
      <c r="E447" s="13" t="s">
        <v>367</v>
      </c>
      <c r="F447" s="14" t="str">
        <f>INDEX('Woolworths Products'!$B$2:$B$208,MATCH($E447,'Woolworths Products'!$A$2:$A$208,0))</f>
        <v>Finely Ground Cinnamon Refill 30 g</v>
      </c>
      <c r="G447" s="15">
        <v>2.5</v>
      </c>
      <c r="H447" s="14" t="str">
        <f>INDEX('Woolworths Products'!$G$2:$G$208,MATCH($E447,'Woolworths Products'!$A$2:$A$208,0))</f>
        <v>g</v>
      </c>
      <c r="I447" s="14">
        <f>INDEX('Woolworths Products'!$F$2:$F$208,MATCH($E447,'Woolworths Products'!$A$2:$A$208,0))</f>
        <v>30</v>
      </c>
      <c r="J447" s="14">
        <f>INDEX('Woolworths Products'!$E$2:$E$208,MATCH($E447,'Woolworths Products'!$A$2:$A$208,0))</f>
        <v>29.99</v>
      </c>
      <c r="K447" s="5">
        <f>IF(COUNTIFS($A$2:A447,A447,$E$2:E447,E447)=1,ROUNDUP(SUMIFS($G:$G,$A:$A,A447,$E:$E,E447)/I447,0),0)</f>
        <v>1</v>
      </c>
      <c r="L447" s="5">
        <f t="shared" si="48"/>
        <v>29.99</v>
      </c>
      <c r="M447" s="5">
        <f t="shared" si="49"/>
        <v>2.4991666666666665</v>
      </c>
      <c r="N447" s="9"/>
    </row>
    <row r="448" spans="1:14" x14ac:dyDescent="0.2">
      <c r="A448" s="12" t="s">
        <v>72</v>
      </c>
      <c r="B448" s="12" t="s">
        <v>63</v>
      </c>
      <c r="C448" s="12" t="s">
        <v>989</v>
      </c>
      <c r="D448" s="12" t="s">
        <v>298</v>
      </c>
      <c r="E448" s="13" t="s">
        <v>990</v>
      </c>
      <c r="F448" s="14" t="str">
        <f>INDEX('Woolworths Products'!$B$2:$B$208,MATCH($E448,'Woolworths Products'!$A$2:$A$208,0))</f>
        <v>Mixed Spice 45 g</v>
      </c>
      <c r="G448" s="15">
        <v>1.5</v>
      </c>
      <c r="H448" s="14" t="str">
        <f>INDEX('Woolworths Products'!$G$2:$G$208,MATCH($E448,'Woolworths Products'!$A$2:$A$208,0))</f>
        <v>g</v>
      </c>
      <c r="I448" s="14">
        <f>INDEX('Woolworths Products'!$F$2:$F$208,MATCH($E448,'Woolworths Products'!$A$2:$A$208,0))</f>
        <v>45</v>
      </c>
      <c r="J448" s="14">
        <f>INDEX('Woolworths Products'!$E$2:$E$208,MATCH($E448,'Woolworths Products'!$A$2:$A$208,0))</f>
        <v>39.99</v>
      </c>
      <c r="K448" s="5">
        <f>IF(COUNTIFS($A$2:A448,A448,$E$2:E448,E448)=1,ROUNDUP(SUMIFS($G:$G,$A:$A,A448,$E:$E,E448)/I448,0),0)</f>
        <v>1</v>
      </c>
      <c r="L448" s="5">
        <f t="shared" si="48"/>
        <v>39.99</v>
      </c>
      <c r="M448" s="5">
        <f t="shared" si="49"/>
        <v>1.333</v>
      </c>
      <c r="N448" s="9"/>
    </row>
    <row r="449" spans="1:14" x14ac:dyDescent="0.2">
      <c r="A449" s="12" t="s">
        <v>72</v>
      </c>
      <c r="B449" s="12" t="s">
        <v>63</v>
      </c>
      <c r="C449" s="12" t="s">
        <v>991</v>
      </c>
      <c r="D449" s="12" t="s">
        <v>298</v>
      </c>
      <c r="E449" s="13" t="s">
        <v>737</v>
      </c>
      <c r="F449" s="14" t="str">
        <f>INDEX('Woolworths Products'!$B$2:$B$208,MATCH($E449,'Woolworths Products'!$A$2:$A$208,0))</f>
        <v>Fynbos Honey 250 g</v>
      </c>
      <c r="G449" s="15">
        <v>10</v>
      </c>
      <c r="H449" s="14" t="str">
        <f>INDEX('Woolworths Products'!$G$2:$G$208,MATCH($E449,'Woolworths Products'!$A$2:$A$208,0))</f>
        <v>g</v>
      </c>
      <c r="I449" s="14">
        <f>INDEX('Woolworths Products'!$F$2:$F$208,MATCH($E449,'Woolworths Products'!$A$2:$A$208,0))</f>
        <v>250</v>
      </c>
      <c r="J449" s="14">
        <f>INDEX('Woolworths Products'!$E$2:$E$208,MATCH($E449,'Woolworths Products'!$A$2:$A$208,0))</f>
        <v>71.989999999999995</v>
      </c>
      <c r="K449" s="5">
        <f>IF(COUNTIFS($A$2:A449,A449,$E$2:E449,E449)=1,ROUNDUP(SUMIFS($G:$G,$A:$A,A449,$E:$E,E449)/I449,0),0)</f>
        <v>1</v>
      </c>
      <c r="L449" s="5">
        <f t="shared" si="48"/>
        <v>71.989999999999995</v>
      </c>
      <c r="M449" s="5">
        <f t="shared" si="49"/>
        <v>2.8795999999999999</v>
      </c>
      <c r="N449" s="9"/>
    </row>
    <row r="450" spans="1:14" x14ac:dyDescent="0.2">
      <c r="A450" s="12" t="s">
        <v>72</v>
      </c>
      <c r="B450" s="12" t="s">
        <v>63</v>
      </c>
      <c r="C450" s="12" t="s">
        <v>992</v>
      </c>
      <c r="D450" s="12" t="s">
        <v>298</v>
      </c>
      <c r="E450" s="13" t="s">
        <v>993</v>
      </c>
      <c r="F450" s="14" t="str">
        <f>INDEX('Woolworths Products'!$B$2:$B$208,MATCH($E450,'Woolworths Products'!$A$2:$A$208,0))</f>
        <v>Nestle Ideal Unsweetened Evaporated Milk 380 g</v>
      </c>
      <c r="G450" s="15">
        <v>190</v>
      </c>
      <c r="H450" s="14" t="str">
        <f>INDEX('Woolworths Products'!$G$2:$G$208,MATCH($E450,'Woolworths Products'!$A$2:$A$208,0))</f>
        <v>g</v>
      </c>
      <c r="I450" s="14">
        <f>INDEX('Woolworths Products'!$F$2:$F$208,MATCH($E450,'Woolworths Products'!$A$2:$A$208,0))</f>
        <v>380</v>
      </c>
      <c r="J450" s="14">
        <f>INDEX('Woolworths Products'!$E$2:$E$208,MATCH($E450,'Woolworths Products'!$A$2:$A$208,0))</f>
        <v>41.99</v>
      </c>
      <c r="K450" s="5">
        <f>IF(COUNTIFS($A$2:A450,A450,$E$2:E450,E450)=1,ROUNDUP(SUMIFS($G:$G,$A:$A,A450,$E:$E,E450)/I450,0),0)</f>
        <v>1</v>
      </c>
      <c r="L450" s="5">
        <f t="shared" si="48"/>
        <v>41.99</v>
      </c>
      <c r="M450" s="5">
        <f t="shared" si="49"/>
        <v>20.995000000000001</v>
      </c>
      <c r="N450" s="9"/>
    </row>
    <row r="451" spans="1:14" x14ac:dyDescent="0.2">
      <c r="A451" s="12" t="s">
        <v>72</v>
      </c>
      <c r="B451" s="12" t="s">
        <v>63</v>
      </c>
      <c r="C451" s="12" t="s">
        <v>994</v>
      </c>
      <c r="D451" s="12" t="s">
        <v>298</v>
      </c>
      <c r="E451" s="13" t="s">
        <v>995</v>
      </c>
      <c r="F451" s="14" t="str">
        <f>INDEX('Woolworths Products'!$B$2:$B$208,MATCH($E451,'Woolworths Products'!$A$2:$A$208,0))</f>
        <v>Fruit Free Hot Cross Buns 6 pk</v>
      </c>
      <c r="G451" s="15">
        <v>1</v>
      </c>
      <c r="H451" s="14" t="str">
        <f>INDEX('Woolworths Products'!$G$2:$G$208,MATCH($E451,'Woolworths Products'!$A$2:$A$208,0))</f>
        <v>ea</v>
      </c>
      <c r="I451" s="14">
        <f>INDEX('Woolworths Products'!$F$2:$F$208,MATCH($E451,'Woolworths Products'!$A$2:$A$208,0))</f>
        <v>6</v>
      </c>
      <c r="J451" s="14">
        <f>INDEX('Woolworths Products'!$E$2:$E$208,MATCH($E451,'Woolworths Products'!$A$2:$A$208,0))</f>
        <v>42.99</v>
      </c>
      <c r="K451" s="5">
        <f>IF(COUNTIFS($A$2:A451,A451,$E$2:E451,E451)=1,ROUNDUP(SUMIFS($G:$G,$A:$A,A451,$E:$E,E451)/I451,0),0)</f>
        <v>1</v>
      </c>
      <c r="L451" s="5">
        <f t="shared" si="48"/>
        <v>42.99</v>
      </c>
      <c r="M451" s="5">
        <f t="shared" si="49"/>
        <v>7.165</v>
      </c>
      <c r="N451" s="9"/>
    </row>
    <row r="452" spans="1:14" x14ac:dyDescent="0.2">
      <c r="A452" s="12" t="s">
        <v>73</v>
      </c>
      <c r="B452" s="12" t="s">
        <v>63</v>
      </c>
      <c r="C452" s="12" t="s">
        <v>996</v>
      </c>
      <c r="D452" s="12" t="s">
        <v>298</v>
      </c>
      <c r="E452" s="13" t="s">
        <v>367</v>
      </c>
      <c r="F452" s="14" t="str">
        <f>INDEX('Woolworths Products'!$B$2:$B$208,MATCH($E452,'Woolworths Products'!$A$2:$A$208,0))</f>
        <v>Finely Ground Cinnamon Refill 30 g</v>
      </c>
      <c r="G452" s="15">
        <v>3</v>
      </c>
      <c r="H452" s="14" t="str">
        <f>INDEX('Woolworths Products'!$G$2:$G$208,MATCH($E452,'Woolworths Products'!$A$2:$A$208,0))</f>
        <v>g</v>
      </c>
      <c r="I452" s="14">
        <f>INDEX('Woolworths Products'!$F$2:$F$208,MATCH($E452,'Woolworths Products'!$A$2:$A$208,0))</f>
        <v>30</v>
      </c>
      <c r="J452" s="14">
        <f>INDEX('Woolworths Products'!$E$2:$E$208,MATCH($E452,'Woolworths Products'!$A$2:$A$208,0))</f>
        <v>29.99</v>
      </c>
      <c r="K452" s="5">
        <f>IF(COUNTIFS($A$2:A452,A452,$E$2:E452,E452)=1,ROUNDUP(SUMIFS($G:$G,$A:$A,A452,$E:$E,E452)/I452,0),0)</f>
        <v>1</v>
      </c>
      <c r="L452" s="5">
        <f t="shared" si="48"/>
        <v>29.99</v>
      </c>
      <c r="M452" s="5">
        <f t="shared" si="49"/>
        <v>2.9990000000000001</v>
      </c>
      <c r="N452" s="9"/>
    </row>
    <row r="453" spans="1:14" x14ac:dyDescent="0.2">
      <c r="A453" s="12" t="s">
        <v>73</v>
      </c>
      <c r="B453" s="12" t="s">
        <v>63</v>
      </c>
      <c r="C453" s="12" t="s">
        <v>991</v>
      </c>
      <c r="D453" s="12" t="s">
        <v>298</v>
      </c>
      <c r="E453" s="13" t="s">
        <v>737</v>
      </c>
      <c r="F453" s="14" t="str">
        <f>INDEX('Woolworths Products'!$B$2:$B$208,MATCH($E453,'Woolworths Products'!$A$2:$A$208,0))</f>
        <v>Fynbos Honey 250 g</v>
      </c>
      <c r="G453" s="15">
        <v>10</v>
      </c>
      <c r="H453" s="14" t="str">
        <f>INDEX('Woolworths Products'!$G$2:$G$208,MATCH($E453,'Woolworths Products'!$A$2:$A$208,0))</f>
        <v>g</v>
      </c>
      <c r="I453" s="14">
        <f>INDEX('Woolworths Products'!$F$2:$F$208,MATCH($E453,'Woolworths Products'!$A$2:$A$208,0))</f>
        <v>250</v>
      </c>
      <c r="J453" s="14">
        <f>INDEX('Woolworths Products'!$E$2:$E$208,MATCH($E453,'Woolworths Products'!$A$2:$A$208,0))</f>
        <v>71.989999999999995</v>
      </c>
      <c r="K453" s="5">
        <f>IF(COUNTIFS($A$2:A453,A453,$E$2:E453,E453)=1,ROUNDUP(SUMIFS($G:$G,$A:$A,A453,$E:$E,E453)/I453,0),0)</f>
        <v>1</v>
      </c>
      <c r="L453" s="5">
        <f t="shared" si="48"/>
        <v>71.989999999999995</v>
      </c>
      <c r="M453" s="5">
        <f t="shared" si="49"/>
        <v>2.8795999999999999</v>
      </c>
      <c r="N453" s="9"/>
    </row>
    <row r="454" spans="1:14" x14ac:dyDescent="0.2">
      <c r="A454" s="12" t="s">
        <v>73</v>
      </c>
      <c r="B454" s="12" t="s">
        <v>63</v>
      </c>
      <c r="C454" s="12" t="s">
        <v>992</v>
      </c>
      <c r="D454" s="12" t="s">
        <v>298</v>
      </c>
      <c r="E454" s="13" t="s">
        <v>993</v>
      </c>
      <c r="F454" s="14" t="str">
        <f>INDEX('Woolworths Products'!$B$2:$B$208,MATCH($E454,'Woolworths Products'!$A$2:$A$208,0))</f>
        <v>Nestle Ideal Unsweetened Evaporated Milk 380 g</v>
      </c>
      <c r="G454" s="15">
        <v>190</v>
      </c>
      <c r="H454" s="14" t="str">
        <f>INDEX('Woolworths Products'!$G$2:$G$208,MATCH($E454,'Woolworths Products'!$A$2:$A$208,0))</f>
        <v>g</v>
      </c>
      <c r="I454" s="14">
        <f>INDEX('Woolworths Products'!$F$2:$F$208,MATCH($E454,'Woolworths Products'!$A$2:$A$208,0))</f>
        <v>380</v>
      </c>
      <c r="J454" s="14">
        <f>INDEX('Woolworths Products'!$E$2:$E$208,MATCH($E454,'Woolworths Products'!$A$2:$A$208,0))</f>
        <v>41.99</v>
      </c>
      <c r="K454" s="5">
        <f>IF(COUNTIFS($A$2:A454,A454,$E$2:E454,E454)=1,ROUNDUP(SUMIFS($G:$G,$A:$A,A454,$E:$E,E454)/I454,0),0)</f>
        <v>1</v>
      </c>
      <c r="L454" s="5">
        <f t="shared" si="48"/>
        <v>41.99</v>
      </c>
      <c r="M454" s="5">
        <f t="shared" si="49"/>
        <v>20.995000000000001</v>
      </c>
      <c r="N454" s="9"/>
    </row>
    <row r="455" spans="1:14" x14ac:dyDescent="0.2">
      <c r="A455" s="12" t="s">
        <v>73</v>
      </c>
      <c r="B455" s="12" t="s">
        <v>63</v>
      </c>
      <c r="C455" s="12" t="s">
        <v>997</v>
      </c>
      <c r="D455" s="12" t="s">
        <v>298</v>
      </c>
      <c r="E455" s="13" t="s">
        <v>998</v>
      </c>
      <c r="F455" s="14" t="str">
        <f>INDEX('Woolworths Products'!$B$2:$B$208,MATCH($E455,'Woolworths Products'!$A$2:$A$208,0))</f>
        <v>Carrot &amp; Pecan Nut Muffins 4 pk</v>
      </c>
      <c r="G455" s="15">
        <v>1</v>
      </c>
      <c r="H455" s="14" t="str">
        <f>INDEX('Woolworths Products'!$G$2:$G$208,MATCH($E455,'Woolworths Products'!$A$2:$A$208,0))</f>
        <v>ea</v>
      </c>
      <c r="I455" s="14">
        <f>INDEX('Woolworths Products'!$F$2:$F$208,MATCH($E455,'Woolworths Products'!$A$2:$A$208,0))</f>
        <v>4</v>
      </c>
      <c r="J455" s="14">
        <f>INDEX('Woolworths Products'!$E$2:$E$208,MATCH($E455,'Woolworths Products'!$A$2:$A$208,0))</f>
        <v>54.99</v>
      </c>
      <c r="K455" s="5">
        <f>IF(COUNTIFS($A$2:A455,A455,$E$2:E455,E455)=1,ROUNDUP(SUMIFS($G:$G,$A:$A,A455,$E:$E,E455)/I455,0),0)</f>
        <v>1</v>
      </c>
      <c r="L455" s="5">
        <f t="shared" si="48"/>
        <v>54.99</v>
      </c>
      <c r="M455" s="5">
        <f t="shared" si="49"/>
        <v>13.7475</v>
      </c>
      <c r="N455" s="9"/>
    </row>
    <row r="456" spans="1:14" x14ac:dyDescent="0.2">
      <c r="A456" s="12" t="s">
        <v>73</v>
      </c>
      <c r="B456" s="12" t="s">
        <v>63</v>
      </c>
      <c r="C456" s="12" t="s">
        <v>999</v>
      </c>
      <c r="D456" s="12" t="s">
        <v>298</v>
      </c>
      <c r="E456" s="13" t="s">
        <v>998</v>
      </c>
      <c r="F456" s="14" t="str">
        <f>INDEX('Woolworths Products'!$B$2:$B$208,MATCH($E456,'Woolworths Products'!$A$2:$A$208,0))</f>
        <v>Carrot &amp; Pecan Nut Muffins 4 pk</v>
      </c>
      <c r="G456" s="15">
        <v>1</v>
      </c>
      <c r="H456" s="14" t="str">
        <f>INDEX('Woolworths Products'!$G$2:$G$208,MATCH($E456,'Woolworths Products'!$A$2:$A$208,0))</f>
        <v>ea</v>
      </c>
      <c r="I456" s="14">
        <f>INDEX('Woolworths Products'!$F$2:$F$208,MATCH($E456,'Woolworths Products'!$A$2:$A$208,0))</f>
        <v>4</v>
      </c>
      <c r="J456" s="14">
        <f>INDEX('Woolworths Products'!$E$2:$E$208,MATCH($E456,'Woolworths Products'!$A$2:$A$208,0))</f>
        <v>54.99</v>
      </c>
      <c r="K456" s="5">
        <f>IF(COUNTIFS($A$2:A456,A456,$E$2:E456,E456)=1,ROUNDUP(SUMIFS($G:$G,$A:$A,A456,$E:$E,E456)/I456,0),0)</f>
        <v>0</v>
      </c>
      <c r="L456" s="5">
        <f t="shared" si="48"/>
        <v>0</v>
      </c>
      <c r="M456" s="5">
        <f t="shared" si="49"/>
        <v>13.7475</v>
      </c>
      <c r="N456" s="9" t="s">
        <v>1000</v>
      </c>
    </row>
    <row r="457" spans="1:14" x14ac:dyDescent="0.2">
      <c r="A457" s="16" t="s">
        <v>73</v>
      </c>
      <c r="B457" s="16" t="s">
        <v>63</v>
      </c>
      <c r="C457" s="16" t="s">
        <v>1001</v>
      </c>
      <c r="D457" s="16" t="s">
        <v>298</v>
      </c>
      <c r="E457" s="17" t="s">
        <v>1002</v>
      </c>
      <c r="F457" s="18" t="str">
        <f>INDEX('Woolworths Products'!$B$2:$B$208,MATCH($E457,'Woolworths Products'!$A$2:$A$208,0))</f>
        <v>Pecan Pieces 100 g</v>
      </c>
      <c r="G457" s="19">
        <v>20</v>
      </c>
      <c r="H457" s="18" t="str">
        <f>INDEX('Woolworths Products'!$G$2:$G$208,MATCH($E457,'Woolworths Products'!$A$2:$A$208,0))</f>
        <v>g</v>
      </c>
      <c r="I457" s="18">
        <f>INDEX('Woolworths Products'!$F$2:$F$208,MATCH($E457,'Woolworths Products'!$A$2:$A$208,0))</f>
        <v>100</v>
      </c>
      <c r="J457" s="18">
        <f>INDEX('Woolworths Products'!$E$2:$E$208,MATCH($E457,'Woolworths Products'!$A$2:$A$208,0))</f>
        <v>62.99</v>
      </c>
      <c r="K457" s="20">
        <f>IF(COUNTIFS($A$2:A457,A457,$E$2:E457,E457)=1,ROUNDUP(SUMIFS($G:$G,$A:$A,A457,$E:$E,E457)/I457,0),0)</f>
        <v>1</v>
      </c>
      <c r="L457" s="20">
        <f t="shared" si="48"/>
        <v>62.99</v>
      </c>
      <c r="M457" s="20">
        <f t="shared" si="49"/>
        <v>12.598000000000001</v>
      </c>
      <c r="N457" s="21" t="s">
        <v>493</v>
      </c>
    </row>
    <row r="458" spans="1:14" x14ac:dyDescent="0.2">
      <c r="A458" s="12" t="s">
        <v>74</v>
      </c>
      <c r="B458" s="12" t="s">
        <v>63</v>
      </c>
      <c r="C458" s="12" t="s">
        <v>1003</v>
      </c>
      <c r="D458" s="12" t="s">
        <v>298</v>
      </c>
      <c r="E458" s="13" t="s">
        <v>794</v>
      </c>
      <c r="F458" s="14" t="str">
        <f>INDEX('Woolworths Products'!$B$2:$B$208,MATCH($E458,'Woolworths Products'!$A$2:$A$208,0))</f>
        <v>Organic Bananas Min 800 g</v>
      </c>
      <c r="G458" s="15">
        <v>2</v>
      </c>
      <c r="H458" s="14" t="str">
        <f>INDEX('Woolworths Products'!$G$2:$G$208,MATCH($E458,'Woolworths Products'!$A$2:$A$208,0))</f>
        <v>ea</v>
      </c>
      <c r="I458" s="14">
        <f>INDEX('Woolworths Products'!$F$2:$F$208,MATCH($E458,'Woolworths Products'!$A$2:$A$208,0))</f>
        <v>6</v>
      </c>
      <c r="J458" s="14">
        <f>INDEX('Woolworths Products'!$E$2:$E$208,MATCH($E458,'Woolworths Products'!$A$2:$A$208,0))</f>
        <v>25.99</v>
      </c>
      <c r="K458" s="5">
        <f>IF(COUNTIFS($A$2:A458,A458,$E$2:E458,E458)=1,ROUNDUP(SUMIFS($G:$G,$A:$A,A458,$E:$E,E458)/I458,0),0)</f>
        <v>1</v>
      </c>
      <c r="L458" s="5">
        <f t="shared" si="48"/>
        <v>25.99</v>
      </c>
      <c r="M458" s="5">
        <f t="shared" si="49"/>
        <v>8.6633333333333322</v>
      </c>
      <c r="N458" s="9" t="s">
        <v>795</v>
      </c>
    </row>
    <row r="459" spans="1:14" x14ac:dyDescent="0.2">
      <c r="A459" s="12" t="s">
        <v>74</v>
      </c>
      <c r="B459" s="12" t="s">
        <v>63</v>
      </c>
      <c r="C459" s="12" t="s">
        <v>1004</v>
      </c>
      <c r="D459" s="12" t="s">
        <v>298</v>
      </c>
      <c r="E459" s="13" t="s">
        <v>467</v>
      </c>
      <c r="F459" s="14" t="str">
        <f>INDEX('Woolworths Products'!$B$2:$B$208,MATCH($E459,'Woolworths Products'!$A$2:$A$208,0))</f>
        <v>Unsweetened Cocoa Powder 150 g</v>
      </c>
      <c r="G459" s="15">
        <v>9</v>
      </c>
      <c r="H459" s="14" t="str">
        <f>INDEX('Woolworths Products'!$G$2:$G$208,MATCH($E459,'Woolworths Products'!$A$2:$A$208,0))</f>
        <v>g</v>
      </c>
      <c r="I459" s="14">
        <f>INDEX('Woolworths Products'!$F$2:$F$208,MATCH($E459,'Woolworths Products'!$A$2:$A$208,0))</f>
        <v>150</v>
      </c>
      <c r="J459" s="14">
        <f>INDEX('Woolworths Products'!$E$2:$E$208,MATCH($E459,'Woolworths Products'!$A$2:$A$208,0))</f>
        <v>84.99</v>
      </c>
      <c r="K459" s="5">
        <f>IF(COUNTIFS($A$2:A459,A459,$E$2:E459,E459)=1,ROUNDUP(SUMIFS($G:$G,$A:$A,A459,$E:$E,E459)/I459,0),0)</f>
        <v>1</v>
      </c>
      <c r="L459" s="5">
        <f t="shared" si="48"/>
        <v>84.99</v>
      </c>
      <c r="M459" s="5">
        <f t="shared" si="49"/>
        <v>5.0993999999999993</v>
      </c>
      <c r="N459" s="9"/>
    </row>
    <row r="460" spans="1:14" x14ac:dyDescent="0.2">
      <c r="A460" s="12" t="s">
        <v>74</v>
      </c>
      <c r="B460" s="12" t="s">
        <v>63</v>
      </c>
      <c r="C460" s="12" t="s">
        <v>1005</v>
      </c>
      <c r="D460" s="12" t="s">
        <v>298</v>
      </c>
      <c r="E460" s="13" t="s">
        <v>993</v>
      </c>
      <c r="F460" s="14" t="str">
        <f>INDEX('Woolworths Products'!$B$2:$B$208,MATCH($E460,'Woolworths Products'!$A$2:$A$208,0))</f>
        <v>Nestle Ideal Unsweetened Evaporated Milk 380 g</v>
      </c>
      <c r="G460" s="15">
        <v>125</v>
      </c>
      <c r="H460" s="14" t="str">
        <f>INDEX('Woolworths Products'!$G$2:$G$208,MATCH($E460,'Woolworths Products'!$A$2:$A$208,0))</f>
        <v>g</v>
      </c>
      <c r="I460" s="14">
        <f>INDEX('Woolworths Products'!$F$2:$F$208,MATCH($E460,'Woolworths Products'!$A$2:$A$208,0))</f>
        <v>380</v>
      </c>
      <c r="J460" s="14">
        <f>INDEX('Woolworths Products'!$E$2:$E$208,MATCH($E460,'Woolworths Products'!$A$2:$A$208,0))</f>
        <v>41.99</v>
      </c>
      <c r="K460" s="5">
        <f>IF(COUNTIFS($A$2:A460,A460,$E$2:E460,E460)=1,ROUNDUP(SUMIFS($G:$G,$A:$A,A460,$E:$E,E460)/I460,0),0)</f>
        <v>1</v>
      </c>
      <c r="L460" s="5">
        <f t="shared" si="48"/>
        <v>41.99</v>
      </c>
      <c r="M460" s="5">
        <f t="shared" si="49"/>
        <v>13.812500000000002</v>
      </c>
      <c r="N460" s="9"/>
    </row>
    <row r="461" spans="1:14" x14ac:dyDescent="0.2">
      <c r="A461" s="16" t="s">
        <v>74</v>
      </c>
      <c r="B461" s="16" t="s">
        <v>63</v>
      </c>
      <c r="C461" s="16" t="s">
        <v>1006</v>
      </c>
      <c r="D461" s="16" t="s">
        <v>298</v>
      </c>
      <c r="E461" s="17" t="s">
        <v>921</v>
      </c>
      <c r="F461" s="18" t="str">
        <f>INDEX('Woolworths Products'!$B$2:$B$208,MATCH($E461,'Woolworths Products'!$A$2:$A$208,0))</f>
        <v>Desiccated Coconut 200 g</v>
      </c>
      <c r="G461" s="19">
        <v>10</v>
      </c>
      <c r="H461" s="18" t="str">
        <f>INDEX('Woolworths Products'!$G$2:$G$208,MATCH($E461,'Woolworths Products'!$A$2:$A$208,0))</f>
        <v>g</v>
      </c>
      <c r="I461" s="18">
        <f>INDEX('Woolworths Products'!$F$2:$F$208,MATCH($E461,'Woolworths Products'!$A$2:$A$208,0))</f>
        <v>200</v>
      </c>
      <c r="J461" s="18">
        <f>INDEX('Woolworths Products'!$E$2:$E$208,MATCH($E461,'Woolworths Products'!$A$2:$A$208,0))</f>
        <v>42.99</v>
      </c>
      <c r="K461" s="20">
        <f>IF(COUNTIFS($A$2:A461,A461,$E$2:E461,E461)=1,ROUNDUP(SUMIFS($G:$G,$A:$A,A461,$E:$E,E461)/I461,0),0)</f>
        <v>1</v>
      </c>
      <c r="L461" s="20">
        <f t="shared" si="48"/>
        <v>42.99</v>
      </c>
      <c r="M461" s="20">
        <f t="shared" si="49"/>
        <v>2.1495000000000002</v>
      </c>
      <c r="N461" s="21" t="s">
        <v>1007</v>
      </c>
    </row>
    <row r="462" spans="1:14" x14ac:dyDescent="0.2">
      <c r="A462" s="16" t="s">
        <v>74</v>
      </c>
      <c r="B462" s="16" t="s">
        <v>63</v>
      </c>
      <c r="C462" s="16" t="s">
        <v>1008</v>
      </c>
      <c r="D462" s="16" t="s">
        <v>298</v>
      </c>
      <c r="E462" s="17" t="s">
        <v>1009</v>
      </c>
      <c r="F462" s="18" t="str">
        <f>INDEX('Woolworths Products'!$B$2:$B$208,MATCH($E462,'Woolworths Products'!$A$2:$A$208,0))</f>
        <v>FANTASTICAL Multi Coloured Eggs 50 g</v>
      </c>
      <c r="G462" s="19">
        <v>50</v>
      </c>
      <c r="H462" s="18" t="str">
        <f>INDEX('Woolworths Products'!$G$2:$G$208,MATCH($E462,'Woolworths Products'!$A$2:$A$208,0))</f>
        <v>g</v>
      </c>
      <c r="I462" s="18">
        <f>INDEX('Woolworths Products'!$F$2:$F$208,MATCH($E462,'Woolworths Products'!$A$2:$A$208,0))</f>
        <v>50</v>
      </c>
      <c r="J462" s="18">
        <f>INDEX('Woolworths Products'!$E$2:$E$208,MATCH($E462,'Woolworths Products'!$A$2:$A$208,0))</f>
        <v>19.989999999999998</v>
      </c>
      <c r="K462" s="20">
        <f>IF(COUNTIFS($A$2:A462,A462,$E$2:E462,E462)=1,ROUNDUP(SUMIFS($G:$G,$A:$A,A462,$E:$E,E462)/I462,0),0)</f>
        <v>1</v>
      </c>
      <c r="L462" s="20">
        <f t="shared" si="48"/>
        <v>19.989999999999998</v>
      </c>
      <c r="M462" s="20">
        <f t="shared" si="49"/>
        <v>19.989999999999998</v>
      </c>
      <c r="N462" s="21" t="s">
        <v>1010</v>
      </c>
    </row>
    <row r="463" spans="1:14" x14ac:dyDescent="0.2">
      <c r="A463" s="12" t="s">
        <v>75</v>
      </c>
      <c r="B463" s="12" t="s">
        <v>14</v>
      </c>
      <c r="C463" s="12" t="s">
        <v>1011</v>
      </c>
      <c r="D463" s="12" t="s">
        <v>298</v>
      </c>
      <c r="E463" s="13" t="s">
        <v>763</v>
      </c>
      <c r="F463" s="14" t="str">
        <f>INDEX('Woolworths Products'!$B$2:$B$208,MATCH($E463,'Woolworths Products'!$A$2:$A$208,0))</f>
        <v>Butternut Avg 900 g</v>
      </c>
      <c r="G463" s="15">
        <v>1</v>
      </c>
      <c r="H463" s="14" t="str">
        <f>INDEX('Woolworths Products'!$G$2:$G$208,MATCH($E463,'Woolworths Products'!$A$2:$A$208,0))</f>
        <v>ea</v>
      </c>
      <c r="I463" s="14">
        <f>INDEX('Woolworths Products'!$F$2:$F$208,MATCH($E463,'Woolworths Products'!$A$2:$A$208,0))</f>
        <v>1</v>
      </c>
      <c r="J463" s="14">
        <f>INDEX('Woolworths Products'!$E$2:$E$208,MATCH($E463,'Woolworths Products'!$A$2:$A$208,0))</f>
        <v>24.93</v>
      </c>
      <c r="K463" s="5">
        <f>IF(COUNTIFS($A$2:A463,A463,$E$2:E463,E463)=1,ROUNDUP(SUMIFS($G:$G,$A:$A,A463,$E:$E,E463)/I463,0),0)</f>
        <v>1</v>
      </c>
      <c r="L463" s="5">
        <f t="shared" si="48"/>
        <v>24.93</v>
      </c>
      <c r="M463" s="5">
        <f t="shared" si="49"/>
        <v>24.93</v>
      </c>
      <c r="N463" s="9" t="s">
        <v>432</v>
      </c>
    </row>
    <row r="464" spans="1:14" x14ac:dyDescent="0.2">
      <c r="A464" s="16" t="s">
        <v>75</v>
      </c>
      <c r="B464" s="16" t="s">
        <v>14</v>
      </c>
      <c r="C464" s="16" t="s">
        <v>1012</v>
      </c>
      <c r="D464" s="16" t="s">
        <v>298</v>
      </c>
      <c r="E464" s="17" t="s">
        <v>330</v>
      </c>
      <c r="F464" s="18" t="str">
        <f>INDEX('Woolworths Products'!$B$2:$B$208,MATCH($E464,'Woolworths Products'!$A$2:$A$208,0))</f>
        <v>Prince Albert Extra Virgin Olive Oil 250 ml</v>
      </c>
      <c r="G464" s="19">
        <v>15</v>
      </c>
      <c r="H464" s="18" t="str">
        <f>INDEX('Woolworths Products'!$G$2:$G$208,MATCH($E464,'Woolworths Products'!$A$2:$A$208,0))</f>
        <v>ml</v>
      </c>
      <c r="I464" s="18">
        <f>INDEX('Woolworths Products'!$F$2:$F$208,MATCH($E464,'Woolworths Products'!$A$2:$A$208,0))</f>
        <v>250</v>
      </c>
      <c r="J464" s="18">
        <f>INDEX('Woolworths Products'!$E$2:$E$208,MATCH($E464,'Woolworths Products'!$A$2:$A$208,0))</f>
        <v>109.99</v>
      </c>
      <c r="K464" s="20">
        <f>IF(COUNTIFS($A$2:A464,A464,$E$2:E464,E464)=1,ROUNDUP(SUMIFS($G:$G,$A:$A,A464,$E:$E,E464)/I464,0),0)</f>
        <v>1</v>
      </c>
      <c r="L464" s="20">
        <f t="shared" si="48"/>
        <v>109.99</v>
      </c>
      <c r="M464" s="20">
        <f t="shared" si="49"/>
        <v>6.5993999999999993</v>
      </c>
      <c r="N464" s="21" t="s">
        <v>847</v>
      </c>
    </row>
    <row r="465" spans="1:14" x14ac:dyDescent="0.2">
      <c r="A465" s="12" t="s">
        <v>75</v>
      </c>
      <c r="B465" s="12" t="s">
        <v>14</v>
      </c>
      <c r="C465" s="12" t="s">
        <v>1013</v>
      </c>
      <c r="D465" s="12" t="s">
        <v>298</v>
      </c>
      <c r="E465" s="13" t="s">
        <v>335</v>
      </c>
      <c r="F465" s="14" t="str">
        <f>INDEX('Woolworths Products'!$B$2:$B$208,MATCH($E465,'Woolworths Products'!$A$2:$A$208,0))</f>
        <v>Extra Virgin Olive Oil Spray 250 ml</v>
      </c>
      <c r="G465" s="15">
        <v>3</v>
      </c>
      <c r="H465" s="14" t="str">
        <f>INDEX('Woolworths Products'!$G$2:$G$208,MATCH($E465,'Woolworths Products'!$A$2:$A$208,0))</f>
        <v>ml</v>
      </c>
      <c r="I465" s="14">
        <f>INDEX('Woolworths Products'!$F$2:$F$208,MATCH($E465,'Woolworths Products'!$A$2:$A$208,0))</f>
        <v>250</v>
      </c>
      <c r="J465" s="14">
        <f>INDEX('Woolworths Products'!$E$2:$E$208,MATCH($E465,'Woolworths Products'!$A$2:$A$208,0))</f>
        <v>199.99</v>
      </c>
      <c r="K465" s="5">
        <f>IF(COUNTIFS($A$2:A465,A465,$E$2:E465,E465)=1,ROUNDUP(SUMIFS($G:$G,$A:$A,A465,$E:$E,E465)/I465,0),0)</f>
        <v>1</v>
      </c>
      <c r="L465" s="5">
        <f t="shared" si="48"/>
        <v>199.99</v>
      </c>
      <c r="M465" s="5">
        <f t="shared" si="49"/>
        <v>2.39988</v>
      </c>
      <c r="N465" s="9"/>
    </row>
    <row r="466" spans="1:14" x14ac:dyDescent="0.2">
      <c r="A466" s="13" t="s">
        <v>75</v>
      </c>
      <c r="B466" s="13" t="s">
        <v>14</v>
      </c>
      <c r="C466" s="13" t="s">
        <v>348</v>
      </c>
      <c r="D466" s="13" t="s">
        <v>349</v>
      </c>
      <c r="E466" s="13"/>
      <c r="L466" s="5">
        <v>0</v>
      </c>
      <c r="M466" s="5">
        <v>0</v>
      </c>
      <c r="N466" s="9" t="s">
        <v>348</v>
      </c>
    </row>
    <row r="467" spans="1:14" x14ac:dyDescent="0.2">
      <c r="A467" s="16" t="s">
        <v>75</v>
      </c>
      <c r="B467" s="16" t="s">
        <v>14</v>
      </c>
      <c r="C467" s="16" t="s">
        <v>1014</v>
      </c>
      <c r="D467" s="16" t="s">
        <v>298</v>
      </c>
      <c r="E467" s="17" t="s">
        <v>318</v>
      </c>
      <c r="F467" s="18" t="str">
        <f>INDEX('Woolworths Products'!$B$2:$B$208,MATCH($E467,'Woolworths Products'!$A$2:$A$208,0))</f>
        <v>Plain South African Feta Cheese 100 g</v>
      </c>
      <c r="G467" s="19">
        <v>100</v>
      </c>
      <c r="H467" s="18" t="str">
        <f>INDEX('Woolworths Products'!$G$2:$G$208,MATCH($E467,'Woolworths Products'!$A$2:$A$208,0))</f>
        <v>g</v>
      </c>
      <c r="I467" s="18">
        <f>INDEX('Woolworths Products'!$F$2:$F$208,MATCH($E467,'Woolworths Products'!$A$2:$A$208,0))</f>
        <v>100</v>
      </c>
      <c r="J467" s="18">
        <f>INDEX('Woolworths Products'!$E$2:$E$208,MATCH($E467,'Woolworths Products'!$A$2:$A$208,0))</f>
        <v>24.99</v>
      </c>
      <c r="K467" s="20">
        <f>IF(COUNTIFS($A$2:A467,A467,$E$2:E467,E467)=1,ROUNDUP(SUMIFS($G:$G,$A:$A,A467,$E:$E,E467)/I467,0),0)</f>
        <v>1</v>
      </c>
      <c r="L467" s="20">
        <f>K467*J467</f>
        <v>24.99</v>
      </c>
      <c r="M467" s="20">
        <f>G467/I467*J467</f>
        <v>24.99</v>
      </c>
      <c r="N467" s="21" t="s">
        <v>962</v>
      </c>
    </row>
    <row r="468" spans="1:14" x14ac:dyDescent="0.2">
      <c r="A468" s="12" t="s">
        <v>75</v>
      </c>
      <c r="B468" s="12" t="s">
        <v>14</v>
      </c>
      <c r="C468" s="12" t="s">
        <v>1015</v>
      </c>
      <c r="D468" s="12" t="s">
        <v>298</v>
      </c>
      <c r="E468" s="13" t="s">
        <v>1016</v>
      </c>
      <c r="F468" s="14" t="str">
        <f>INDEX('Woolworths Products'!$B$2:$B$208,MATCH($E468,'Woolworths Products'!$A$2:$A$208,0))</f>
        <v>Fresh Sage 20 g</v>
      </c>
      <c r="G468" s="15">
        <v>0.5</v>
      </c>
      <c r="H468" s="14" t="str">
        <f>INDEX('Woolworths Products'!$G$2:$G$208,MATCH($E468,'Woolworths Products'!$A$2:$A$208,0))</f>
        <v>ea</v>
      </c>
      <c r="I468" s="14">
        <f>INDEX('Woolworths Products'!$F$2:$F$208,MATCH($E468,'Woolworths Products'!$A$2:$A$208,0))</f>
        <v>1</v>
      </c>
      <c r="J468" s="14">
        <f>INDEX('Woolworths Products'!$E$2:$E$208,MATCH($E468,'Woolworths Products'!$A$2:$A$208,0))</f>
        <v>15.99</v>
      </c>
      <c r="K468" s="5">
        <f>IF(COUNTIFS($A$2:A468,A468,$E$2:E468,E468)=1,ROUNDUP(SUMIFS($G:$G,$A:$A,A468,$E:$E,E468)/I468,0),0)</f>
        <v>1</v>
      </c>
      <c r="L468" s="5">
        <f>K468*J468</f>
        <v>15.99</v>
      </c>
      <c r="M468" s="5">
        <f>G468/I468*J468</f>
        <v>7.9950000000000001</v>
      </c>
      <c r="N468" s="9"/>
    </row>
    <row r="469" spans="1:14" x14ac:dyDescent="0.2">
      <c r="A469" s="12" t="s">
        <v>76</v>
      </c>
      <c r="B469" s="12" t="s">
        <v>48</v>
      </c>
      <c r="C469" s="12" t="s">
        <v>1017</v>
      </c>
      <c r="D469" s="12" t="s">
        <v>298</v>
      </c>
      <c r="E469" s="13" t="s">
        <v>311</v>
      </c>
      <c r="F469" s="14" t="str">
        <f>INDEX('Woolworths Products'!$B$2:$B$208,MATCH($E469,'Woolworths Products'!$A$2:$A$208,0))</f>
        <v>Free Range Mixed Sizes Chilled Eggs 6 pk</v>
      </c>
      <c r="G469" s="15">
        <v>6</v>
      </c>
      <c r="H469" s="14" t="str">
        <f>INDEX('Woolworths Products'!$G$2:$G$208,MATCH($E469,'Woolworths Products'!$A$2:$A$208,0))</f>
        <v>ea</v>
      </c>
      <c r="I469" s="14">
        <f>INDEX('Woolworths Products'!$F$2:$F$208,MATCH($E469,'Woolworths Products'!$A$2:$A$208,0))</f>
        <v>6</v>
      </c>
      <c r="J469" s="14">
        <f>INDEX('Woolworths Products'!$E$2:$E$208,MATCH($E469,'Woolworths Products'!$A$2:$A$208,0))</f>
        <v>29.99</v>
      </c>
      <c r="K469" s="5">
        <f>IF(COUNTIFS($A$2:A469,A469,$E$2:E469,E469)=1,ROUNDUP(SUMIFS($G:$G,$A:$A,A469,$E:$E,E469)/I469,0),0)</f>
        <v>1</v>
      </c>
      <c r="L469" s="5">
        <f>K469*J469</f>
        <v>29.99</v>
      </c>
      <c r="M469" s="5">
        <f>G469/I469*J469</f>
        <v>29.99</v>
      </c>
      <c r="N469" s="9"/>
    </row>
    <row r="470" spans="1:14" x14ac:dyDescent="0.2">
      <c r="A470" s="12" t="s">
        <v>76</v>
      </c>
      <c r="B470" s="12" t="s">
        <v>48</v>
      </c>
      <c r="C470" s="12" t="s">
        <v>1018</v>
      </c>
      <c r="D470" s="12" t="s">
        <v>298</v>
      </c>
      <c r="E470" s="13" t="s">
        <v>388</v>
      </c>
      <c r="F470" s="14" t="str">
        <f>INDEX('Woolworths Products'!$B$2:$B$208,MATCH($E470,'Woolworths Products'!$A$2:$A$208,0))</f>
        <v>Long Life Full Cream Milk 1 L</v>
      </c>
      <c r="G470" s="15">
        <v>30</v>
      </c>
      <c r="H470" s="14" t="str">
        <f>INDEX('Woolworths Products'!$G$2:$G$208,MATCH($E470,'Woolworths Products'!$A$2:$A$208,0))</f>
        <v>ml</v>
      </c>
      <c r="I470" s="14">
        <f>INDEX('Woolworths Products'!$F$2:$F$208,MATCH($E470,'Woolworths Products'!$A$2:$A$208,0))</f>
        <v>1000</v>
      </c>
      <c r="J470" s="14">
        <f>INDEX('Woolworths Products'!$E$2:$E$208,MATCH($E470,'Woolworths Products'!$A$2:$A$208,0))</f>
        <v>22.99</v>
      </c>
      <c r="K470" s="5">
        <f>IF(COUNTIFS($A$2:A470,A470,$E$2:E470,E470)=1,ROUNDUP(SUMIFS($G:$G,$A:$A,A470,$E:$E,E470)/I470,0),0)</f>
        <v>1</v>
      </c>
      <c r="L470" s="5">
        <f>K470*J470</f>
        <v>22.99</v>
      </c>
      <c r="M470" s="5">
        <f>G470/I470*J470</f>
        <v>0.68969999999999998</v>
      </c>
      <c r="N470" s="9"/>
    </row>
    <row r="471" spans="1:14" x14ac:dyDescent="0.2">
      <c r="A471" s="13" t="s">
        <v>76</v>
      </c>
      <c r="B471" s="13" t="s">
        <v>48</v>
      </c>
      <c r="C471" s="13" t="s">
        <v>590</v>
      </c>
      <c r="D471" s="13" t="s">
        <v>349</v>
      </c>
      <c r="E471" s="13"/>
      <c r="L471" s="5">
        <v>0</v>
      </c>
      <c r="M471" s="5">
        <v>0</v>
      </c>
      <c r="N471" s="9" t="s">
        <v>348</v>
      </c>
    </row>
    <row r="472" spans="1:14" ht="28" x14ac:dyDescent="0.2">
      <c r="A472" s="16" t="s">
        <v>76</v>
      </c>
      <c r="B472" s="16" t="s">
        <v>48</v>
      </c>
      <c r="C472" s="16" t="s">
        <v>1019</v>
      </c>
      <c r="D472" s="16" t="s">
        <v>298</v>
      </c>
      <c r="E472" s="17" t="s">
        <v>1020</v>
      </c>
      <c r="F472" s="18" t="str">
        <f>INDEX('Woolworths Products'!$B$2:$B$208,MATCH($E472,'Woolworths Products'!$A$2:$A$208,0))</f>
        <v>Plain Medium Fat Cream Cheese 250 g</v>
      </c>
      <c r="G472" s="19">
        <v>40</v>
      </c>
      <c r="H472" s="18" t="str">
        <f>INDEX('Woolworths Products'!$G$2:$G$208,MATCH($E472,'Woolworths Products'!$A$2:$A$208,0))</f>
        <v>g</v>
      </c>
      <c r="I472" s="18">
        <f>INDEX('Woolworths Products'!$F$2:$F$208,MATCH($E472,'Woolworths Products'!$A$2:$A$208,0))</f>
        <v>250</v>
      </c>
      <c r="J472" s="18">
        <f>INDEX('Woolworths Products'!$E$2:$E$208,MATCH($E472,'Woolworths Products'!$A$2:$A$208,0))</f>
        <v>62.99</v>
      </c>
      <c r="K472" s="20">
        <f>IF(COUNTIFS($A$2:A472,A472,$E$2:E472,E472)=1,ROUNDUP(SUMIFS($G:$G,$A:$A,A472,$E:$E,E472)/I472,0),0)</f>
        <v>1</v>
      </c>
      <c r="L472" s="20">
        <f t="shared" ref="L472:L503" si="50">K472*J472</f>
        <v>62.99</v>
      </c>
      <c r="M472" s="20">
        <f t="shared" ref="M472:M503" si="51">G472/I472*J472</f>
        <v>10.0784</v>
      </c>
      <c r="N472" s="21" t="s">
        <v>1021</v>
      </c>
    </row>
    <row r="473" spans="1:14" x14ac:dyDescent="0.2">
      <c r="A473" s="12" t="s">
        <v>76</v>
      </c>
      <c r="B473" s="12" t="s">
        <v>48</v>
      </c>
      <c r="C473" s="12" t="s">
        <v>1022</v>
      </c>
      <c r="D473" s="12" t="s">
        <v>298</v>
      </c>
      <c r="E473" s="13" t="s">
        <v>1023</v>
      </c>
      <c r="F473" s="14" t="str">
        <f>INDEX('Woolworths Products'!$B$2:$B$208,MATCH($E473,'Woolworths Products'!$A$2:$A$208,0))</f>
        <v>Smoked Sliced Salami 100 g</v>
      </c>
      <c r="G473" s="15">
        <v>40</v>
      </c>
      <c r="H473" s="14" t="str">
        <f>INDEX('Woolworths Products'!$G$2:$G$208,MATCH($E473,'Woolworths Products'!$A$2:$A$208,0))</f>
        <v>g</v>
      </c>
      <c r="I473" s="14">
        <f>INDEX('Woolworths Products'!$F$2:$F$208,MATCH($E473,'Woolworths Products'!$A$2:$A$208,0))</f>
        <v>100</v>
      </c>
      <c r="J473" s="14">
        <f>INDEX('Woolworths Products'!$E$2:$E$208,MATCH($E473,'Woolworths Products'!$A$2:$A$208,0))</f>
        <v>59.99</v>
      </c>
      <c r="K473" s="5">
        <f>IF(COUNTIFS($A$2:A473,A473,$E$2:E473,E473)=1,ROUNDUP(SUMIFS($G:$G,$A:$A,A473,$E:$E,E473)/I473,0),0)</f>
        <v>1</v>
      </c>
      <c r="L473" s="5">
        <f t="shared" si="50"/>
        <v>59.99</v>
      </c>
      <c r="M473" s="5">
        <f t="shared" si="51"/>
        <v>23.996000000000002</v>
      </c>
      <c r="N473" s="9"/>
    </row>
    <row r="474" spans="1:14" x14ac:dyDescent="0.2">
      <c r="A474" s="12" t="s">
        <v>76</v>
      </c>
      <c r="B474" s="12" t="s">
        <v>48</v>
      </c>
      <c r="C474" s="12" t="s">
        <v>1024</v>
      </c>
      <c r="D474" s="12" t="s">
        <v>298</v>
      </c>
      <c r="E474" s="13" t="s">
        <v>318</v>
      </c>
      <c r="F474" s="14" t="str">
        <f>INDEX('Woolworths Products'!$B$2:$B$208,MATCH($E474,'Woolworths Products'!$A$2:$A$208,0))</f>
        <v>Plain South African Feta Cheese 100 g</v>
      </c>
      <c r="G474" s="15">
        <v>30</v>
      </c>
      <c r="H474" s="14" t="str">
        <f>INDEX('Woolworths Products'!$G$2:$G$208,MATCH($E474,'Woolworths Products'!$A$2:$A$208,0))</f>
        <v>g</v>
      </c>
      <c r="I474" s="14">
        <f>INDEX('Woolworths Products'!$F$2:$F$208,MATCH($E474,'Woolworths Products'!$A$2:$A$208,0))</f>
        <v>100</v>
      </c>
      <c r="J474" s="14">
        <f>INDEX('Woolworths Products'!$E$2:$E$208,MATCH($E474,'Woolworths Products'!$A$2:$A$208,0))</f>
        <v>24.99</v>
      </c>
      <c r="K474" s="5">
        <f>IF(COUNTIFS($A$2:A474,A474,$E$2:E474,E474)=1,ROUNDUP(SUMIFS($G:$G,$A:$A,A474,$E:$E,E474)/I474,0),0)</f>
        <v>1</v>
      </c>
      <c r="L474" s="5">
        <f t="shared" si="50"/>
        <v>24.99</v>
      </c>
      <c r="M474" s="5">
        <f t="shared" si="51"/>
        <v>7.496999999999999</v>
      </c>
      <c r="N474" s="9" t="s">
        <v>341</v>
      </c>
    </row>
    <row r="475" spans="1:14" x14ac:dyDescent="0.2">
      <c r="A475" s="12" t="s">
        <v>76</v>
      </c>
      <c r="B475" s="12" t="s">
        <v>48</v>
      </c>
      <c r="C475" s="12" t="s">
        <v>1025</v>
      </c>
      <c r="D475" s="12" t="s">
        <v>298</v>
      </c>
      <c r="E475" s="13" t="s">
        <v>424</v>
      </c>
      <c r="F475" s="14" t="str">
        <f>INDEX('Woolworths Products'!$B$2:$B$208,MATCH($E475,'Woolworths Products'!$A$2:$A$208,0))</f>
        <v>Fresh Chives 20 g</v>
      </c>
      <c r="G475" s="15">
        <v>0.25</v>
      </c>
      <c r="H475" s="14" t="str">
        <f>INDEX('Woolworths Products'!$G$2:$G$208,MATCH($E475,'Woolworths Products'!$A$2:$A$208,0))</f>
        <v>punnet</v>
      </c>
      <c r="I475" s="14">
        <f>INDEX('Woolworths Products'!$F$2:$F$208,MATCH($E475,'Woolworths Products'!$A$2:$A$208,0))</f>
        <v>1</v>
      </c>
      <c r="J475" s="14">
        <f>INDEX('Woolworths Products'!$E$2:$E$208,MATCH($E475,'Woolworths Products'!$A$2:$A$208,0))</f>
        <v>15.99</v>
      </c>
      <c r="K475" s="5">
        <f>IF(COUNTIFS($A$2:A475,A475,$E$2:E475,E475)=1,ROUNDUP(SUMIFS($G:$G,$A:$A,A475,$E:$E,E475)/I475,0),0)</f>
        <v>1</v>
      </c>
      <c r="L475" s="5">
        <f t="shared" si="50"/>
        <v>15.99</v>
      </c>
      <c r="M475" s="5">
        <f t="shared" si="51"/>
        <v>3.9975000000000001</v>
      </c>
      <c r="N475" s="9"/>
    </row>
    <row r="476" spans="1:14" ht="28" x14ac:dyDescent="0.2">
      <c r="A476" s="16" t="s">
        <v>76</v>
      </c>
      <c r="B476" s="16" t="s">
        <v>48</v>
      </c>
      <c r="C476" s="16" t="s">
        <v>1026</v>
      </c>
      <c r="D476" s="16" t="s">
        <v>298</v>
      </c>
      <c r="E476" s="17" t="s">
        <v>1020</v>
      </c>
      <c r="F476" s="18" t="str">
        <f>INDEX('Woolworths Products'!$B$2:$B$208,MATCH($E476,'Woolworths Products'!$A$2:$A$208,0))</f>
        <v>Plain Medium Fat Cream Cheese 250 g</v>
      </c>
      <c r="G476" s="19">
        <v>40</v>
      </c>
      <c r="H476" s="18" t="str">
        <f>INDEX('Woolworths Products'!$G$2:$G$208,MATCH($E476,'Woolworths Products'!$A$2:$A$208,0))</f>
        <v>g</v>
      </c>
      <c r="I476" s="18">
        <f>INDEX('Woolworths Products'!$F$2:$F$208,MATCH($E476,'Woolworths Products'!$A$2:$A$208,0))</f>
        <v>250</v>
      </c>
      <c r="J476" s="18">
        <f>INDEX('Woolworths Products'!$E$2:$E$208,MATCH($E476,'Woolworths Products'!$A$2:$A$208,0))</f>
        <v>62.99</v>
      </c>
      <c r="K476" s="20">
        <f>IF(COUNTIFS($A$2:A476,A476,$E$2:E476,E476)=1,ROUNDUP(SUMIFS($G:$G,$A:$A,A476,$E:$E,E476)/I476,0),0)</f>
        <v>0</v>
      </c>
      <c r="L476" s="20">
        <f t="shared" si="50"/>
        <v>0</v>
      </c>
      <c r="M476" s="20">
        <f t="shared" si="51"/>
        <v>10.0784</v>
      </c>
      <c r="N476" s="21" t="s">
        <v>1027</v>
      </c>
    </row>
    <row r="477" spans="1:14" x14ac:dyDescent="0.2">
      <c r="A477" s="12" t="s">
        <v>76</v>
      </c>
      <c r="B477" s="12" t="s">
        <v>48</v>
      </c>
      <c r="C477" s="12" t="s">
        <v>1028</v>
      </c>
      <c r="D477" s="12" t="s">
        <v>298</v>
      </c>
      <c r="E477" s="13" t="s">
        <v>1029</v>
      </c>
      <c r="F477" s="14" t="str">
        <f>INDEX('Woolworths Products'!$B$2:$B$208,MATCH($E477,'Woolworths Products'!$A$2:$A$208,0))</f>
        <v>Oak Smoked Salmon Ribbons 50 g</v>
      </c>
      <c r="G477" s="15">
        <v>50</v>
      </c>
      <c r="H477" s="14" t="str">
        <f>INDEX('Woolworths Products'!$G$2:$G$208,MATCH($E477,'Woolworths Products'!$A$2:$A$208,0))</f>
        <v>g</v>
      </c>
      <c r="I477" s="14">
        <f>INDEX('Woolworths Products'!$F$2:$F$208,MATCH($E477,'Woolworths Products'!$A$2:$A$208,0))</f>
        <v>50</v>
      </c>
      <c r="J477" s="14">
        <f>INDEX('Woolworths Products'!$E$2:$E$208,MATCH($E477,'Woolworths Products'!$A$2:$A$208,0))</f>
        <v>114.99</v>
      </c>
      <c r="K477" s="5">
        <f>IF(COUNTIFS($A$2:A477,A477,$E$2:E477,E477)=1,ROUNDUP(SUMIFS($G:$G,$A:$A,A477,$E:$E,E477)/I477,0),0)</f>
        <v>1</v>
      </c>
      <c r="L477" s="5">
        <f t="shared" si="50"/>
        <v>114.99</v>
      </c>
      <c r="M477" s="5">
        <f t="shared" si="51"/>
        <v>114.99</v>
      </c>
      <c r="N477" s="9"/>
    </row>
    <row r="478" spans="1:14" x14ac:dyDescent="0.2">
      <c r="A478" s="12" t="s">
        <v>76</v>
      </c>
      <c r="B478" s="12" t="s">
        <v>48</v>
      </c>
      <c r="C478" s="12" t="s">
        <v>1030</v>
      </c>
      <c r="D478" s="12" t="s">
        <v>298</v>
      </c>
      <c r="E478" s="13" t="s">
        <v>424</v>
      </c>
      <c r="F478" s="14" t="str">
        <f>INDEX('Woolworths Products'!$B$2:$B$208,MATCH($E478,'Woolworths Products'!$A$2:$A$208,0))</f>
        <v>Fresh Chives 20 g</v>
      </c>
      <c r="G478" s="15">
        <v>0.25</v>
      </c>
      <c r="H478" s="14" t="str">
        <f>INDEX('Woolworths Products'!$G$2:$G$208,MATCH($E478,'Woolworths Products'!$A$2:$A$208,0))</f>
        <v>punnet</v>
      </c>
      <c r="I478" s="14">
        <f>INDEX('Woolworths Products'!$F$2:$F$208,MATCH($E478,'Woolworths Products'!$A$2:$A$208,0))</f>
        <v>1</v>
      </c>
      <c r="J478" s="14">
        <f>INDEX('Woolworths Products'!$E$2:$E$208,MATCH($E478,'Woolworths Products'!$A$2:$A$208,0))</f>
        <v>15.99</v>
      </c>
      <c r="K478" s="5">
        <f>IF(COUNTIFS($A$2:A478,A478,$E$2:E478,E478)=1,ROUNDUP(SUMIFS($G:$G,$A:$A,A478,$E:$E,E478)/I478,0),0)</f>
        <v>0</v>
      </c>
      <c r="L478" s="5">
        <f t="shared" si="50"/>
        <v>0</v>
      </c>
      <c r="M478" s="5">
        <f t="shared" si="51"/>
        <v>3.9975000000000001</v>
      </c>
      <c r="N478" s="9"/>
    </row>
    <row r="479" spans="1:14" x14ac:dyDescent="0.2">
      <c r="A479" s="12" t="s">
        <v>76</v>
      </c>
      <c r="B479" s="12" t="s">
        <v>48</v>
      </c>
      <c r="C479" s="12" t="s">
        <v>1031</v>
      </c>
      <c r="D479" s="12" t="s">
        <v>298</v>
      </c>
      <c r="E479" s="13" t="s">
        <v>1032</v>
      </c>
      <c r="F479" s="14" t="str">
        <f>INDEX('Woolworths Products'!$B$2:$B$208,MATCH($E479,'Woolworths Products'!$A$2:$A$208,0))</f>
        <v>Coelsanus Non Pareilles Capers in Wine Vinegar 100 g</v>
      </c>
      <c r="G479" s="15">
        <v>10</v>
      </c>
      <c r="H479" s="14" t="str">
        <f>INDEX('Woolworths Products'!$G$2:$G$208,MATCH($E479,'Woolworths Products'!$A$2:$A$208,0))</f>
        <v>g</v>
      </c>
      <c r="I479" s="14">
        <f>INDEX('Woolworths Products'!$F$2:$F$208,MATCH($E479,'Woolworths Products'!$A$2:$A$208,0))</f>
        <v>100</v>
      </c>
      <c r="J479" s="14">
        <f>INDEX('Woolworths Products'!$E$2:$E$208,MATCH($E479,'Woolworths Products'!$A$2:$A$208,0))</f>
        <v>69.989999999999995</v>
      </c>
      <c r="K479" s="5">
        <f>IF(COUNTIFS($A$2:A479,A479,$E$2:E479,E479)=1,ROUNDUP(SUMIFS($G:$G,$A:$A,A479,$E:$E,E479)/I479,0),0)</f>
        <v>1</v>
      </c>
      <c r="L479" s="5">
        <f t="shared" si="50"/>
        <v>69.989999999999995</v>
      </c>
      <c r="M479" s="5">
        <f t="shared" si="51"/>
        <v>6.9989999999999997</v>
      </c>
      <c r="N479" s="9"/>
    </row>
    <row r="480" spans="1:14" x14ac:dyDescent="0.2">
      <c r="A480" s="16" t="s">
        <v>76</v>
      </c>
      <c r="B480" s="16" t="s">
        <v>48</v>
      </c>
      <c r="C480" s="16" t="s">
        <v>1033</v>
      </c>
      <c r="D480" s="16" t="s">
        <v>298</v>
      </c>
      <c r="E480" s="17" t="s">
        <v>1020</v>
      </c>
      <c r="F480" s="18" t="str">
        <f>INDEX('Woolworths Products'!$B$2:$B$208,MATCH($E480,'Woolworths Products'!$A$2:$A$208,0))</f>
        <v>Plain Medium Fat Cream Cheese 250 g</v>
      </c>
      <c r="G480" s="19">
        <v>40</v>
      </c>
      <c r="H480" s="18" t="str">
        <f>INDEX('Woolworths Products'!$G$2:$G$208,MATCH($E480,'Woolworths Products'!$A$2:$A$208,0))</f>
        <v>g</v>
      </c>
      <c r="I480" s="18">
        <f>INDEX('Woolworths Products'!$F$2:$F$208,MATCH($E480,'Woolworths Products'!$A$2:$A$208,0))</f>
        <v>250</v>
      </c>
      <c r="J480" s="18">
        <f>INDEX('Woolworths Products'!$E$2:$E$208,MATCH($E480,'Woolworths Products'!$A$2:$A$208,0))</f>
        <v>62.99</v>
      </c>
      <c r="K480" s="20">
        <f>IF(COUNTIFS($A$2:A480,A480,$E$2:E480,E480)=1,ROUNDUP(SUMIFS($G:$G,$A:$A,A480,$E:$E,E480)/I480,0),0)</f>
        <v>0</v>
      </c>
      <c r="L480" s="20">
        <f t="shared" si="50"/>
        <v>0</v>
      </c>
      <c r="M480" s="20">
        <f t="shared" si="51"/>
        <v>10.0784</v>
      </c>
      <c r="N480" s="21" t="s">
        <v>1034</v>
      </c>
    </row>
    <row r="481" spans="1:14" x14ac:dyDescent="0.2">
      <c r="A481" s="12" t="s">
        <v>76</v>
      </c>
      <c r="B481" s="12" t="s">
        <v>48</v>
      </c>
      <c r="C481" s="12" t="s">
        <v>1035</v>
      </c>
      <c r="D481" s="12" t="s">
        <v>298</v>
      </c>
      <c r="E481" s="13" t="s">
        <v>1036</v>
      </c>
      <c r="F481" s="14" t="str">
        <f>INDEX('Woolworths Products'!$B$2:$B$208,MATCH($E481,'Woolworths Products'!$A$2:$A$208,0))</f>
        <v>Pickled Red Onion Petals 90 g</v>
      </c>
      <c r="G481" s="15">
        <v>20</v>
      </c>
      <c r="H481" s="14" t="str">
        <f>INDEX('Woolworths Products'!$G$2:$G$208,MATCH($E481,'Woolworths Products'!$A$2:$A$208,0))</f>
        <v>g</v>
      </c>
      <c r="I481" s="14">
        <f>INDEX('Woolworths Products'!$F$2:$F$208,MATCH($E481,'Woolworths Products'!$A$2:$A$208,0))</f>
        <v>90</v>
      </c>
      <c r="J481" s="14">
        <f>INDEX('Woolworths Products'!$E$2:$E$208,MATCH($E481,'Woolworths Products'!$A$2:$A$208,0))</f>
        <v>23.99</v>
      </c>
      <c r="K481" s="5">
        <f>IF(COUNTIFS($A$2:A481,A481,$E$2:E481,E481)=1,ROUNDUP(SUMIFS($G:$G,$A:$A,A481,$E:$E,E481)/I481,0),0)</f>
        <v>1</v>
      </c>
      <c r="L481" s="5">
        <f t="shared" si="50"/>
        <v>23.99</v>
      </c>
      <c r="M481" s="5">
        <f t="shared" si="51"/>
        <v>5.3311111111111105</v>
      </c>
      <c r="N481" s="9"/>
    </row>
    <row r="482" spans="1:14" x14ac:dyDescent="0.2">
      <c r="A482" s="16" t="s">
        <v>77</v>
      </c>
      <c r="B482" s="16" t="s">
        <v>11</v>
      </c>
      <c r="C482" s="16" t="s">
        <v>1037</v>
      </c>
      <c r="D482" s="16" t="s">
        <v>298</v>
      </c>
      <c r="E482" s="17" t="s">
        <v>1038</v>
      </c>
      <c r="F482" s="18" t="str">
        <f>INDEX('Woolworths Products'!$B$2:$B$208,MATCH($E482,'Woolworths Products'!$A$2:$A$208,0))</f>
        <v>Free Range Beef Frikkadels 12 pk</v>
      </c>
      <c r="G482" s="19">
        <v>12</v>
      </c>
      <c r="H482" s="18" t="str">
        <f>INDEX('Woolworths Products'!$G$2:$G$208,MATCH($E482,'Woolworths Products'!$A$2:$A$208,0))</f>
        <v>ea</v>
      </c>
      <c r="I482" s="18">
        <f>INDEX('Woolworths Products'!$F$2:$F$208,MATCH($E482,'Woolworths Products'!$A$2:$A$208,0))</f>
        <v>12</v>
      </c>
      <c r="J482" s="18">
        <f>INDEX('Woolworths Products'!$E$2:$E$208,MATCH($E482,'Woolworths Products'!$A$2:$A$208,0))</f>
        <v>99.99</v>
      </c>
      <c r="K482" s="20">
        <f>IF(COUNTIFS($A$2:A482,A482,$E$2:E482,E482)=1,ROUNDUP(SUMIFS($G:$G,$A:$A,A482,$E:$E,E482)/I482,0),0)</f>
        <v>1</v>
      </c>
      <c r="L482" s="20">
        <f t="shared" si="50"/>
        <v>99.99</v>
      </c>
      <c r="M482" s="20">
        <f t="shared" si="51"/>
        <v>99.99</v>
      </c>
      <c r="N482" s="21" t="s">
        <v>1039</v>
      </c>
    </row>
    <row r="483" spans="1:14" x14ac:dyDescent="0.2">
      <c r="A483" s="12" t="s">
        <v>77</v>
      </c>
      <c r="B483" s="12" t="s">
        <v>11</v>
      </c>
      <c r="C483" s="12" t="s">
        <v>1040</v>
      </c>
      <c r="D483" s="12" t="s">
        <v>298</v>
      </c>
      <c r="E483" s="13" t="s">
        <v>1041</v>
      </c>
      <c r="F483" s="14" t="str">
        <f>INDEX('Woolworths Products'!$B$2:$B$208,MATCH($E483,'Woolworths Products'!$A$2:$A$208,0))</f>
        <v>Mediterranean Tomato Cook-in-Sauce 400 g</v>
      </c>
      <c r="G483" s="15">
        <v>1</v>
      </c>
      <c r="H483" s="14" t="str">
        <f>INDEX('Woolworths Products'!$G$2:$G$208,MATCH($E483,'Woolworths Products'!$A$2:$A$208,0))</f>
        <v>ea</v>
      </c>
      <c r="I483" s="14">
        <f>INDEX('Woolworths Products'!$F$2:$F$208,MATCH($E483,'Woolworths Products'!$A$2:$A$208,0))</f>
        <v>1</v>
      </c>
      <c r="J483" s="14">
        <f>INDEX('Woolworths Products'!$E$2:$E$208,MATCH($E483,'Woolworths Products'!$A$2:$A$208,0))</f>
        <v>58.99</v>
      </c>
      <c r="K483" s="5">
        <f>IF(COUNTIFS($A$2:A483,A483,$E$2:E483,E483)=1,ROUNDUP(SUMIFS($G:$G,$A:$A,A483,$E:$E,E483)/I483,0),0)</f>
        <v>1</v>
      </c>
      <c r="L483" s="5">
        <f t="shared" si="50"/>
        <v>58.99</v>
      </c>
      <c r="M483" s="5">
        <f t="shared" si="51"/>
        <v>58.99</v>
      </c>
      <c r="N483" s="9"/>
    </row>
    <row r="484" spans="1:14" x14ac:dyDescent="0.2">
      <c r="A484" s="12" t="s">
        <v>77</v>
      </c>
      <c r="B484" s="12" t="s">
        <v>11</v>
      </c>
      <c r="C484" s="12" t="s">
        <v>1042</v>
      </c>
      <c r="D484" s="12" t="s">
        <v>298</v>
      </c>
      <c r="E484" s="13" t="s">
        <v>1043</v>
      </c>
      <c r="F484" s="14" t="str">
        <f>INDEX('Woolworths Products'!$B$2:$B$208,MATCH($E484,'Woolworths Products'!$A$2:$A$208,0))</f>
        <v>Whole Unpeeled Cherry Tomatoes 400 g</v>
      </c>
      <c r="G484" s="15">
        <v>1</v>
      </c>
      <c r="H484" s="14" t="str">
        <f>INDEX('Woolworths Products'!$G$2:$G$208,MATCH($E484,'Woolworths Products'!$A$2:$A$208,0))</f>
        <v>ea</v>
      </c>
      <c r="I484" s="14">
        <f>INDEX('Woolworths Products'!$F$2:$F$208,MATCH($E484,'Woolworths Products'!$A$2:$A$208,0))</f>
        <v>1</v>
      </c>
      <c r="J484" s="14">
        <f>INDEX('Woolworths Products'!$E$2:$E$208,MATCH($E484,'Woolworths Products'!$A$2:$A$208,0))</f>
        <v>37.99</v>
      </c>
      <c r="K484" s="5">
        <f>IF(COUNTIFS($A$2:A484,A484,$E$2:E484,E484)=1,ROUNDUP(SUMIFS($G:$G,$A:$A,A484,$E:$E,E484)/I484,0),0)</f>
        <v>1</v>
      </c>
      <c r="L484" s="5">
        <f t="shared" si="50"/>
        <v>37.99</v>
      </c>
      <c r="M484" s="5">
        <f t="shared" si="51"/>
        <v>37.99</v>
      </c>
      <c r="N484" s="9"/>
    </row>
    <row r="485" spans="1:14" x14ac:dyDescent="0.2">
      <c r="A485" s="12" t="s">
        <v>77</v>
      </c>
      <c r="B485" s="12" t="s">
        <v>11</v>
      </c>
      <c r="C485" s="12" t="s">
        <v>1044</v>
      </c>
      <c r="D485" s="12" t="s">
        <v>298</v>
      </c>
      <c r="E485" s="13" t="s">
        <v>1045</v>
      </c>
      <c r="F485" s="14" t="str">
        <f>INDEX('Woolworths Products'!$B$2:$B$208,MATCH($E485,'Woolworths Products'!$A$2:$A$208,0))</f>
        <v>Pitted Green Manzanilla Olives 180 g</v>
      </c>
      <c r="G485" s="15">
        <v>40</v>
      </c>
      <c r="H485" s="14" t="str">
        <f>INDEX('Woolworths Products'!$G$2:$G$208,MATCH($E485,'Woolworths Products'!$A$2:$A$208,0))</f>
        <v>g</v>
      </c>
      <c r="I485" s="14">
        <f>INDEX('Woolworths Products'!$F$2:$F$208,MATCH($E485,'Woolworths Products'!$A$2:$A$208,0))</f>
        <v>180</v>
      </c>
      <c r="J485" s="14">
        <f>INDEX('Woolworths Products'!$E$2:$E$208,MATCH($E485,'Woolworths Products'!$A$2:$A$208,0))</f>
        <v>31.99</v>
      </c>
      <c r="K485" s="5">
        <f>IF(COUNTIFS($A$2:A485,A485,$E$2:E485,E485)=1,ROUNDUP(SUMIFS($G:$G,$A:$A,A485,$E:$E,E485)/I485,0),0)</f>
        <v>1</v>
      </c>
      <c r="L485" s="5">
        <f t="shared" si="50"/>
        <v>31.99</v>
      </c>
      <c r="M485" s="5">
        <f t="shared" si="51"/>
        <v>7.1088888888888881</v>
      </c>
      <c r="N485" s="9"/>
    </row>
    <row r="486" spans="1:14" x14ac:dyDescent="0.2">
      <c r="A486" s="12" t="s">
        <v>77</v>
      </c>
      <c r="B486" s="12" t="s">
        <v>11</v>
      </c>
      <c r="C486" s="12" t="s">
        <v>1046</v>
      </c>
      <c r="D486" s="12" t="s">
        <v>298</v>
      </c>
      <c r="E486" s="13" t="s">
        <v>318</v>
      </c>
      <c r="F486" s="14" t="str">
        <f>INDEX('Woolworths Products'!$B$2:$B$208,MATCH($E486,'Woolworths Products'!$A$2:$A$208,0))</f>
        <v>Plain South African Feta Cheese 100 g</v>
      </c>
      <c r="G486" s="15">
        <v>100</v>
      </c>
      <c r="H486" s="14" t="str">
        <f>INDEX('Woolworths Products'!$G$2:$G$208,MATCH($E486,'Woolworths Products'!$A$2:$A$208,0))</f>
        <v>g</v>
      </c>
      <c r="I486" s="14">
        <f>INDEX('Woolworths Products'!$F$2:$F$208,MATCH($E486,'Woolworths Products'!$A$2:$A$208,0))</f>
        <v>100</v>
      </c>
      <c r="J486" s="14">
        <f>INDEX('Woolworths Products'!$E$2:$E$208,MATCH($E486,'Woolworths Products'!$A$2:$A$208,0))</f>
        <v>24.99</v>
      </c>
      <c r="K486" s="5">
        <f>IF(COUNTIFS($A$2:A486,A486,$E$2:E486,E486)=1,ROUNDUP(SUMIFS($G:$G,$A:$A,A486,$E:$E,E486)/I486,0),0)</f>
        <v>1</v>
      </c>
      <c r="L486" s="5">
        <f t="shared" si="50"/>
        <v>24.99</v>
      </c>
      <c r="M486" s="5">
        <f t="shared" si="51"/>
        <v>24.99</v>
      </c>
      <c r="N486" s="9" t="s">
        <v>341</v>
      </c>
    </row>
    <row r="487" spans="1:14" x14ac:dyDescent="0.2">
      <c r="A487" s="12" t="s">
        <v>77</v>
      </c>
      <c r="B487" s="12" t="s">
        <v>11</v>
      </c>
      <c r="C487" s="12" t="s">
        <v>1047</v>
      </c>
      <c r="D487" s="12" t="s">
        <v>298</v>
      </c>
      <c r="E487" s="13" t="s">
        <v>486</v>
      </c>
      <c r="F487" s="14" t="str">
        <f>INDEX('Woolworths Products'!$B$2:$B$208,MATCH($E487,'Woolworths Products'!$A$2:$A$208,0))</f>
        <v>Fresh Basil 30 g</v>
      </c>
      <c r="G487" s="15">
        <v>0.5</v>
      </c>
      <c r="H487" s="14" t="str">
        <f>INDEX('Woolworths Products'!$G$2:$G$208,MATCH($E487,'Woolworths Products'!$A$2:$A$208,0))</f>
        <v>punnet</v>
      </c>
      <c r="I487" s="14">
        <f>INDEX('Woolworths Products'!$F$2:$F$208,MATCH($E487,'Woolworths Products'!$A$2:$A$208,0))</f>
        <v>1</v>
      </c>
      <c r="J487" s="14">
        <f>INDEX('Woolworths Products'!$E$2:$E$208,MATCH($E487,'Woolworths Products'!$A$2:$A$208,0))</f>
        <v>15.99</v>
      </c>
      <c r="K487" s="5">
        <f>IF(COUNTIFS($A$2:A487,A487,$E$2:E487,E487)=1,ROUNDUP(SUMIFS($G:$G,$A:$A,A487,$E:$E,E487)/I487,0),0)</f>
        <v>1</v>
      </c>
      <c r="L487" s="5">
        <f t="shared" si="50"/>
        <v>15.99</v>
      </c>
      <c r="M487" s="5">
        <f t="shared" si="51"/>
        <v>7.9950000000000001</v>
      </c>
      <c r="N487" s="9"/>
    </row>
    <row r="488" spans="1:14" x14ac:dyDescent="0.2">
      <c r="A488" s="12" t="s">
        <v>78</v>
      </c>
      <c r="B488" s="12" t="s">
        <v>48</v>
      </c>
      <c r="C488" s="12" t="s">
        <v>1017</v>
      </c>
      <c r="D488" s="12" t="s">
        <v>298</v>
      </c>
      <c r="E488" s="13" t="s">
        <v>311</v>
      </c>
      <c r="F488" s="14" t="str">
        <f>INDEX('Woolworths Products'!$B$2:$B$208,MATCH($E488,'Woolworths Products'!$A$2:$A$208,0))</f>
        <v>Free Range Mixed Sizes Chilled Eggs 6 pk</v>
      </c>
      <c r="G488" s="15">
        <v>6</v>
      </c>
      <c r="H488" s="14" t="str">
        <f>INDEX('Woolworths Products'!$G$2:$G$208,MATCH($E488,'Woolworths Products'!$A$2:$A$208,0))</f>
        <v>ea</v>
      </c>
      <c r="I488" s="14">
        <f>INDEX('Woolworths Products'!$F$2:$F$208,MATCH($E488,'Woolworths Products'!$A$2:$A$208,0))</f>
        <v>6</v>
      </c>
      <c r="J488" s="14">
        <f>INDEX('Woolworths Products'!$E$2:$E$208,MATCH($E488,'Woolworths Products'!$A$2:$A$208,0))</f>
        <v>29.99</v>
      </c>
      <c r="K488" s="5">
        <f>IF(COUNTIFS($A$2:A488,A488,$E$2:E488,E488)=1,ROUNDUP(SUMIFS($G:$G,$A:$A,A488,$E:$E,E488)/I488,0),0)</f>
        <v>1</v>
      </c>
      <c r="L488" s="5">
        <f t="shared" si="50"/>
        <v>29.99</v>
      </c>
      <c r="M488" s="5">
        <f t="shared" si="51"/>
        <v>29.99</v>
      </c>
      <c r="N488" s="9"/>
    </row>
    <row r="489" spans="1:14" x14ac:dyDescent="0.2">
      <c r="A489" s="12" t="s">
        <v>78</v>
      </c>
      <c r="B489" s="12" t="s">
        <v>48</v>
      </c>
      <c r="C489" s="12" t="s">
        <v>1048</v>
      </c>
      <c r="D489" s="12" t="s">
        <v>298</v>
      </c>
      <c r="E489" s="13" t="s">
        <v>388</v>
      </c>
      <c r="F489" s="14" t="str">
        <f>INDEX('Woolworths Products'!$B$2:$B$208,MATCH($E489,'Woolworths Products'!$A$2:$A$208,0))</f>
        <v>Long Life Full Cream Milk 1 L</v>
      </c>
      <c r="G489" s="15">
        <v>62.5</v>
      </c>
      <c r="H489" s="14" t="str">
        <f>INDEX('Woolworths Products'!$G$2:$G$208,MATCH($E489,'Woolworths Products'!$A$2:$A$208,0))</f>
        <v>ml</v>
      </c>
      <c r="I489" s="14">
        <f>INDEX('Woolworths Products'!$F$2:$F$208,MATCH($E489,'Woolworths Products'!$A$2:$A$208,0))</f>
        <v>1000</v>
      </c>
      <c r="J489" s="14">
        <f>INDEX('Woolworths Products'!$E$2:$E$208,MATCH($E489,'Woolworths Products'!$A$2:$A$208,0))</f>
        <v>22.99</v>
      </c>
      <c r="K489" s="5">
        <f>IF(COUNTIFS($A$2:A489,A489,$E$2:E489,E489)=1,ROUNDUP(SUMIFS($G:$G,$A:$A,A489,$E:$E,E489)/I489,0),0)</f>
        <v>1</v>
      </c>
      <c r="L489" s="5">
        <f t="shared" si="50"/>
        <v>22.99</v>
      </c>
      <c r="M489" s="5">
        <f t="shared" si="51"/>
        <v>1.4368749999999999</v>
      </c>
      <c r="N489" s="9"/>
    </row>
    <row r="490" spans="1:14" x14ac:dyDescent="0.2">
      <c r="A490" s="12" t="s">
        <v>78</v>
      </c>
      <c r="B490" s="12" t="s">
        <v>48</v>
      </c>
      <c r="C490" s="12" t="s">
        <v>1049</v>
      </c>
      <c r="D490" s="12" t="s">
        <v>298</v>
      </c>
      <c r="E490" s="13" t="s">
        <v>1050</v>
      </c>
      <c r="F490" s="14" t="str">
        <f>INDEX('Woolworths Products'!$B$2:$B$208,MATCH($E490,'Woolworths Products'!$A$2:$A$208,0))</f>
        <v>Whole Grain Mustard 210 g</v>
      </c>
      <c r="G490" s="15">
        <v>7</v>
      </c>
      <c r="H490" s="14" t="str">
        <f>INDEX('Woolworths Products'!$G$2:$G$208,MATCH($E490,'Woolworths Products'!$A$2:$A$208,0))</f>
        <v>g</v>
      </c>
      <c r="I490" s="14">
        <f>INDEX('Woolworths Products'!$F$2:$F$208,MATCH($E490,'Woolworths Products'!$A$2:$A$208,0))</f>
        <v>210</v>
      </c>
      <c r="J490" s="14">
        <f>INDEX('Woolworths Products'!$E$2:$E$208,MATCH($E490,'Woolworths Products'!$A$2:$A$208,0))</f>
        <v>51.99</v>
      </c>
      <c r="K490" s="5">
        <f>IF(COUNTIFS($A$2:A490,A490,$E$2:E490,E490)=1,ROUNDUP(SUMIFS($G:$G,$A:$A,A490,$E:$E,E490)/I490,0),0)</f>
        <v>1</v>
      </c>
      <c r="L490" s="5">
        <f t="shared" si="50"/>
        <v>51.99</v>
      </c>
      <c r="M490" s="5">
        <f t="shared" si="51"/>
        <v>1.7330000000000001</v>
      </c>
      <c r="N490" s="9"/>
    </row>
    <row r="491" spans="1:14" x14ac:dyDescent="0.2">
      <c r="A491" s="12" t="s">
        <v>78</v>
      </c>
      <c r="B491" s="12" t="s">
        <v>48</v>
      </c>
      <c r="C491" s="12" t="s">
        <v>1051</v>
      </c>
      <c r="D491" s="12" t="s">
        <v>298</v>
      </c>
      <c r="E491" s="13" t="s">
        <v>1052</v>
      </c>
      <c r="F491" s="14" t="str">
        <f>INDEX('Woolworths Products'!$B$2:$B$208,MATCH($E491,'Woolworths Products'!$A$2:$A$208,0))</f>
        <v>Bicarbonate Of Soda 200 g</v>
      </c>
      <c r="G491" s="15">
        <v>5</v>
      </c>
      <c r="H491" s="14" t="str">
        <f>INDEX('Woolworths Products'!$G$2:$G$208,MATCH($E491,'Woolworths Products'!$A$2:$A$208,0))</f>
        <v>g</v>
      </c>
      <c r="I491" s="14">
        <f>INDEX('Woolworths Products'!$F$2:$F$208,MATCH($E491,'Woolworths Products'!$A$2:$A$208,0))</f>
        <v>200</v>
      </c>
      <c r="J491" s="14">
        <f>INDEX('Woolworths Products'!$E$2:$E$208,MATCH($E491,'Woolworths Products'!$A$2:$A$208,0))</f>
        <v>33.99</v>
      </c>
      <c r="K491" s="5">
        <f>IF(COUNTIFS($A$2:A491,A491,$E$2:E491,E491)=1,ROUNDUP(SUMIFS($G:$G,$A:$A,A491,$E:$E,E491)/I491,0),0)</f>
        <v>1</v>
      </c>
      <c r="L491" s="5">
        <f t="shared" si="50"/>
        <v>33.99</v>
      </c>
      <c r="M491" s="5">
        <f t="shared" si="51"/>
        <v>0.84975000000000012</v>
      </c>
      <c r="N491" s="9"/>
    </row>
    <row r="492" spans="1:14" x14ac:dyDescent="0.2">
      <c r="A492" s="12" t="s">
        <v>78</v>
      </c>
      <c r="B492" s="12" t="s">
        <v>48</v>
      </c>
      <c r="C492" s="12" t="s">
        <v>1053</v>
      </c>
      <c r="D492" s="12" t="s">
        <v>298</v>
      </c>
      <c r="E492" s="13" t="s">
        <v>441</v>
      </c>
      <c r="F492" s="14" t="str">
        <f>INDEX('Woolworths Products'!$B$2:$B$208,MATCH($E492,'Woolworths Products'!$A$2:$A$208,0))</f>
        <v>Baby Spinach 200 g</v>
      </c>
      <c r="G492" s="15">
        <v>200</v>
      </c>
      <c r="H492" s="14" t="str">
        <f>INDEX('Woolworths Products'!$G$2:$G$208,MATCH($E492,'Woolworths Products'!$A$2:$A$208,0))</f>
        <v>g</v>
      </c>
      <c r="I492" s="14">
        <f>INDEX('Woolworths Products'!$F$2:$F$208,MATCH($E492,'Woolworths Products'!$A$2:$A$208,0))</f>
        <v>200</v>
      </c>
      <c r="J492" s="14">
        <f>INDEX('Woolworths Products'!$E$2:$E$208,MATCH($E492,'Woolworths Products'!$A$2:$A$208,0))</f>
        <v>35.99</v>
      </c>
      <c r="K492" s="5">
        <f>IF(COUNTIFS($A$2:A492,A492,$E$2:E492,E492)=1,ROUNDUP(SUMIFS($G:$G,$A:$A,A492,$E:$E,E492)/I492,0),0)</f>
        <v>1</v>
      </c>
      <c r="L492" s="5">
        <f t="shared" si="50"/>
        <v>35.99</v>
      </c>
      <c r="M492" s="5">
        <f t="shared" si="51"/>
        <v>35.99</v>
      </c>
      <c r="N492" s="9"/>
    </row>
    <row r="493" spans="1:14" x14ac:dyDescent="0.2">
      <c r="A493" s="12" t="s">
        <v>78</v>
      </c>
      <c r="B493" s="12" t="s">
        <v>48</v>
      </c>
      <c r="C493" s="12" t="s">
        <v>1054</v>
      </c>
      <c r="D493" s="12" t="s">
        <v>298</v>
      </c>
      <c r="E493" s="13" t="s">
        <v>1045</v>
      </c>
      <c r="F493" s="14" t="str">
        <f>INDEX('Woolworths Products'!$B$2:$B$208,MATCH($E493,'Woolworths Products'!$A$2:$A$208,0))</f>
        <v>Pitted Green Manzanilla Olives 180 g</v>
      </c>
      <c r="G493" s="15">
        <v>90</v>
      </c>
      <c r="H493" s="14" t="str">
        <f>INDEX('Woolworths Products'!$G$2:$G$208,MATCH($E493,'Woolworths Products'!$A$2:$A$208,0))</f>
        <v>g</v>
      </c>
      <c r="I493" s="14">
        <f>INDEX('Woolworths Products'!$F$2:$F$208,MATCH($E493,'Woolworths Products'!$A$2:$A$208,0))</f>
        <v>180</v>
      </c>
      <c r="J493" s="14">
        <f>INDEX('Woolworths Products'!$E$2:$E$208,MATCH($E493,'Woolworths Products'!$A$2:$A$208,0))</f>
        <v>31.99</v>
      </c>
      <c r="K493" s="5">
        <f>IF(COUNTIFS($A$2:A493,A493,$E$2:E493,E493)=1,ROUNDUP(SUMIFS($G:$G,$A:$A,A493,$E:$E,E493)/I493,0),0)</f>
        <v>1</v>
      </c>
      <c r="L493" s="5">
        <f t="shared" si="50"/>
        <v>31.99</v>
      </c>
      <c r="M493" s="5">
        <f t="shared" si="51"/>
        <v>15.994999999999999</v>
      </c>
      <c r="N493" s="9"/>
    </row>
    <row r="494" spans="1:14" x14ac:dyDescent="0.2">
      <c r="A494" s="12" t="s">
        <v>78</v>
      </c>
      <c r="B494" s="12" t="s">
        <v>48</v>
      </c>
      <c r="C494" s="12" t="s">
        <v>1055</v>
      </c>
      <c r="D494" s="12" t="s">
        <v>298</v>
      </c>
      <c r="E494" s="13" t="s">
        <v>404</v>
      </c>
      <c r="F494" s="14" t="str">
        <f>INDEX('Woolworths Products'!$B$2:$B$208,MATCH($E494,'Woolworths Products'!$A$2:$A$208,0))</f>
        <v>Red Onions 1 kg</v>
      </c>
      <c r="G494" s="15">
        <v>100</v>
      </c>
      <c r="H494" s="14" t="str">
        <f>INDEX('Woolworths Products'!$G$2:$G$208,MATCH($E494,'Woolworths Products'!$A$2:$A$208,0))</f>
        <v>g</v>
      </c>
      <c r="I494" s="14">
        <f>INDEX('Woolworths Products'!$F$2:$F$208,MATCH($E494,'Woolworths Products'!$A$2:$A$208,0))</f>
        <v>1000</v>
      </c>
      <c r="J494" s="14">
        <f>INDEX('Woolworths Products'!$E$2:$E$208,MATCH($E494,'Woolworths Products'!$A$2:$A$208,0))</f>
        <v>73.989999999999995</v>
      </c>
      <c r="K494" s="5">
        <f>IF(COUNTIFS($A$2:A494,A494,$E$2:E494,E494)=1,ROUNDUP(SUMIFS($G:$G,$A:$A,A494,$E:$E,E494)/I494,0),0)</f>
        <v>1</v>
      </c>
      <c r="L494" s="5">
        <f t="shared" si="50"/>
        <v>73.989999999999995</v>
      </c>
      <c r="M494" s="5">
        <f t="shared" si="51"/>
        <v>7.399</v>
      </c>
      <c r="N494" s="9" t="s">
        <v>405</v>
      </c>
    </row>
    <row r="495" spans="1:14" x14ac:dyDescent="0.2">
      <c r="A495" s="12" t="s">
        <v>78</v>
      </c>
      <c r="B495" s="12" t="s">
        <v>48</v>
      </c>
      <c r="C495" s="12" t="s">
        <v>340</v>
      </c>
      <c r="D495" s="12" t="s">
        <v>298</v>
      </c>
      <c r="E495" s="13" t="s">
        <v>318</v>
      </c>
      <c r="F495" s="14" t="str">
        <f>INDEX('Woolworths Products'!$B$2:$B$208,MATCH($E495,'Woolworths Products'!$A$2:$A$208,0))</f>
        <v>Plain South African Feta Cheese 100 g</v>
      </c>
      <c r="G495" s="15">
        <v>100</v>
      </c>
      <c r="H495" s="14" t="str">
        <f>INDEX('Woolworths Products'!$G$2:$G$208,MATCH($E495,'Woolworths Products'!$A$2:$A$208,0))</f>
        <v>g</v>
      </c>
      <c r="I495" s="14">
        <f>INDEX('Woolworths Products'!$F$2:$F$208,MATCH($E495,'Woolworths Products'!$A$2:$A$208,0))</f>
        <v>100</v>
      </c>
      <c r="J495" s="14">
        <f>INDEX('Woolworths Products'!$E$2:$E$208,MATCH($E495,'Woolworths Products'!$A$2:$A$208,0))</f>
        <v>24.99</v>
      </c>
      <c r="K495" s="5">
        <f>IF(COUNTIFS($A$2:A495,A495,$E$2:E495,E495)=1,ROUNDUP(SUMIFS($G:$G,$A:$A,A495,$E:$E,E495)/I495,0),0)</f>
        <v>1</v>
      </c>
      <c r="L495" s="5">
        <f t="shared" si="50"/>
        <v>24.99</v>
      </c>
      <c r="M495" s="5">
        <f t="shared" si="51"/>
        <v>24.99</v>
      </c>
      <c r="N495" s="9" t="s">
        <v>341</v>
      </c>
    </row>
    <row r="496" spans="1:14" x14ac:dyDescent="0.2">
      <c r="A496" s="12" t="s">
        <v>79</v>
      </c>
      <c r="B496" s="12" t="s">
        <v>48</v>
      </c>
      <c r="C496" s="12" t="s">
        <v>1056</v>
      </c>
      <c r="D496" s="12" t="s">
        <v>298</v>
      </c>
      <c r="E496" s="13" t="s">
        <v>1057</v>
      </c>
      <c r="F496" s="14" t="str">
        <f>INDEX('Woolworths Products'!$B$2:$B$208,MATCH($E496,'Woolworths Products'!$A$2:$A$208,0))</f>
        <v>Pear Halves in Fruit Juice 420 g</v>
      </c>
      <c r="G496" s="15">
        <v>1</v>
      </c>
      <c r="H496" s="14" t="str">
        <f>INDEX('Woolworths Products'!$G$2:$G$208,MATCH($E496,'Woolworths Products'!$A$2:$A$208,0))</f>
        <v>ea</v>
      </c>
      <c r="I496" s="14">
        <f>INDEX('Woolworths Products'!$F$2:$F$208,MATCH($E496,'Woolworths Products'!$A$2:$A$208,0))</f>
        <v>1</v>
      </c>
      <c r="J496" s="14">
        <f>INDEX('Woolworths Products'!$E$2:$E$208,MATCH($E496,'Woolworths Products'!$A$2:$A$208,0))</f>
        <v>39.99</v>
      </c>
      <c r="K496" s="5">
        <f>IF(COUNTIFS($A$2:A496,A496,$E$2:E496,E496)=1,ROUNDUP(SUMIFS($G:$G,$A:$A,A496,$E:$E,E496)/I496,0),0)</f>
        <v>1</v>
      </c>
      <c r="L496" s="5">
        <f t="shared" si="50"/>
        <v>39.99</v>
      </c>
      <c r="M496" s="5">
        <f t="shared" si="51"/>
        <v>39.99</v>
      </c>
      <c r="N496" s="9"/>
    </row>
    <row r="497" spans="1:14" x14ac:dyDescent="0.2">
      <c r="A497" s="12" t="s">
        <v>79</v>
      </c>
      <c r="B497" s="12" t="s">
        <v>48</v>
      </c>
      <c r="C497" s="12" t="s">
        <v>1058</v>
      </c>
      <c r="D497" s="12" t="s">
        <v>298</v>
      </c>
      <c r="E497" s="13" t="s">
        <v>518</v>
      </c>
      <c r="F497" s="14" t="str">
        <f>INDEX('Woolworths Products'!$B$2:$B$208,MATCH($E497,'Woolworths Products'!$A$2:$A$208,0))</f>
        <v>Chia Seeds 250 g</v>
      </c>
      <c r="G497" s="15">
        <v>30</v>
      </c>
      <c r="H497" s="14" t="str">
        <f>INDEX('Woolworths Products'!$G$2:$G$208,MATCH($E497,'Woolworths Products'!$A$2:$A$208,0))</f>
        <v>g</v>
      </c>
      <c r="I497" s="14">
        <f>INDEX('Woolworths Products'!$F$2:$F$208,MATCH($E497,'Woolworths Products'!$A$2:$A$208,0))</f>
        <v>250</v>
      </c>
      <c r="J497" s="14">
        <f>INDEX('Woolworths Products'!$E$2:$E$208,MATCH($E497,'Woolworths Products'!$A$2:$A$208,0))</f>
        <v>109.99</v>
      </c>
      <c r="K497" s="5">
        <f>IF(COUNTIFS($A$2:A497,A497,$E$2:E497,E497)=1,ROUNDUP(SUMIFS($G:$G,$A:$A,A497,$E:$E,E497)/I497,0),0)</f>
        <v>1</v>
      </c>
      <c r="L497" s="5">
        <f t="shared" si="50"/>
        <v>109.99</v>
      </c>
      <c r="M497" s="5">
        <f t="shared" si="51"/>
        <v>13.198799999999999</v>
      </c>
      <c r="N497" s="9"/>
    </row>
    <row r="498" spans="1:14" x14ac:dyDescent="0.2">
      <c r="A498" s="12" t="s">
        <v>79</v>
      </c>
      <c r="B498" s="12" t="s">
        <v>48</v>
      </c>
      <c r="C498" s="12" t="s">
        <v>1059</v>
      </c>
      <c r="D498" s="12" t="s">
        <v>298</v>
      </c>
      <c r="E498" s="13" t="s">
        <v>418</v>
      </c>
      <c r="F498" s="14" t="str">
        <f>INDEX('Woolworths Products'!$B$2:$B$208,MATCH($E498,'Woolworths Products'!$A$2:$A$208,0))</f>
        <v>Ayrshire Full Cream Plain Yoghurt 500 g</v>
      </c>
      <c r="G498" s="15">
        <v>375</v>
      </c>
      <c r="H498" s="14" t="str">
        <f>INDEX('Woolworths Products'!$G$2:$G$208,MATCH($E498,'Woolworths Products'!$A$2:$A$208,0))</f>
        <v>g</v>
      </c>
      <c r="I498" s="14">
        <f>INDEX('Woolworths Products'!$F$2:$F$208,MATCH($E498,'Woolworths Products'!$A$2:$A$208,0))</f>
        <v>500</v>
      </c>
      <c r="J498" s="14">
        <f>INDEX('Woolworths Products'!$E$2:$E$208,MATCH($E498,'Woolworths Products'!$A$2:$A$208,0))</f>
        <v>39.99</v>
      </c>
      <c r="K498" s="5">
        <f>IF(COUNTIFS($A$2:A498,A498,$E$2:E498,E498)=1,ROUNDUP(SUMIFS($G:$G,$A:$A,A498,$E:$E,E498)/I498,0),0)</f>
        <v>1</v>
      </c>
      <c r="L498" s="5">
        <f t="shared" si="50"/>
        <v>39.99</v>
      </c>
      <c r="M498" s="5">
        <f t="shared" si="51"/>
        <v>29.9925</v>
      </c>
      <c r="N498" s="9"/>
    </row>
    <row r="499" spans="1:14" x14ac:dyDescent="0.2">
      <c r="A499" s="12" t="s">
        <v>79</v>
      </c>
      <c r="B499" s="12" t="s">
        <v>48</v>
      </c>
      <c r="C499" s="12" t="s">
        <v>1060</v>
      </c>
      <c r="D499" s="12" t="s">
        <v>298</v>
      </c>
      <c r="E499" s="13" t="s">
        <v>785</v>
      </c>
      <c r="F499" s="14" t="str">
        <f>INDEX('Woolworths Products'!$B$2:$B$208,MATCH($E499,'Woolworths Products'!$A$2:$A$208,0))</f>
        <v>Jungle Oats 1 kg</v>
      </c>
      <c r="G499" s="15">
        <v>45</v>
      </c>
      <c r="H499" s="14" t="str">
        <f>INDEX('Woolworths Products'!$G$2:$G$208,MATCH($E499,'Woolworths Products'!$A$2:$A$208,0))</f>
        <v>g</v>
      </c>
      <c r="I499" s="14">
        <f>INDEX('Woolworths Products'!$F$2:$F$208,MATCH($E499,'Woolworths Products'!$A$2:$A$208,0))</f>
        <v>1000</v>
      </c>
      <c r="J499" s="14">
        <f>INDEX('Woolworths Products'!$E$2:$E$208,MATCH($E499,'Woolworths Products'!$A$2:$A$208,0))</f>
        <v>39.99</v>
      </c>
      <c r="K499" s="5">
        <f>IF(COUNTIFS($A$2:A499,A499,$E$2:E499,E499)=1,ROUNDUP(SUMIFS($G:$G,$A:$A,A499,$E:$E,E499)/I499,0),0)</f>
        <v>1</v>
      </c>
      <c r="L499" s="5">
        <f t="shared" si="50"/>
        <v>39.99</v>
      </c>
      <c r="M499" s="5">
        <f t="shared" si="51"/>
        <v>1.79955</v>
      </c>
      <c r="N499" s="9"/>
    </row>
    <row r="500" spans="1:14" x14ac:dyDescent="0.2">
      <c r="A500" s="16" t="s">
        <v>80</v>
      </c>
      <c r="B500" s="16" t="s">
        <v>50</v>
      </c>
      <c r="C500" s="16" t="s">
        <v>775</v>
      </c>
      <c r="D500" s="16" t="s">
        <v>298</v>
      </c>
      <c r="E500" s="17" t="s">
        <v>301</v>
      </c>
      <c r="F500" s="18" t="str">
        <f>INDEX('Woolworths Products'!$B$2:$B$208,MATCH($E500,'Woolworths Products'!$A$2:$A$208,0))</f>
        <v>Baby Marrows 350 g</v>
      </c>
      <c r="G500" s="19">
        <v>350</v>
      </c>
      <c r="H500" s="18" t="str">
        <f>INDEX('Woolworths Products'!$G$2:$G$208,MATCH($E500,'Woolworths Products'!$A$2:$A$208,0))</f>
        <v>g</v>
      </c>
      <c r="I500" s="18">
        <f>INDEX('Woolworths Products'!$F$2:$F$208,MATCH($E500,'Woolworths Products'!$A$2:$A$208,0))</f>
        <v>350</v>
      </c>
      <c r="J500" s="18">
        <f>INDEX('Woolworths Products'!$E$2:$E$208,MATCH($E500,'Woolworths Products'!$A$2:$A$208,0))</f>
        <v>32.99</v>
      </c>
      <c r="K500" s="20">
        <f>IF(COUNTIFS($A$2:A500,A500,$E$2:E500,E500)=1,ROUNDUP(SUMIFS($G:$G,$A:$A,A500,$E:$E,E500)/I500,0),0)</f>
        <v>1</v>
      </c>
      <c r="L500" s="20">
        <f t="shared" si="50"/>
        <v>32.99</v>
      </c>
      <c r="M500" s="20">
        <f t="shared" si="51"/>
        <v>32.99</v>
      </c>
      <c r="N500" s="21" t="s">
        <v>955</v>
      </c>
    </row>
    <row r="501" spans="1:14" x14ac:dyDescent="0.2">
      <c r="A501" s="16" t="s">
        <v>80</v>
      </c>
      <c r="B501" s="16" t="s">
        <v>50</v>
      </c>
      <c r="C501" s="16" t="s">
        <v>1061</v>
      </c>
      <c r="D501" s="16" t="s">
        <v>298</v>
      </c>
      <c r="E501" s="17" t="s">
        <v>404</v>
      </c>
      <c r="F501" s="18" t="str">
        <f>INDEX('Woolworths Products'!$B$2:$B$208,MATCH($E501,'Woolworths Products'!$A$2:$A$208,0))</f>
        <v>Red Onions 1 kg</v>
      </c>
      <c r="G501" s="19">
        <v>150</v>
      </c>
      <c r="H501" s="18" t="str">
        <f>INDEX('Woolworths Products'!$G$2:$G$208,MATCH($E501,'Woolworths Products'!$A$2:$A$208,0))</f>
        <v>g</v>
      </c>
      <c r="I501" s="18">
        <f>INDEX('Woolworths Products'!$F$2:$F$208,MATCH($E501,'Woolworths Products'!$A$2:$A$208,0))</f>
        <v>1000</v>
      </c>
      <c r="J501" s="18">
        <f>INDEX('Woolworths Products'!$E$2:$E$208,MATCH($E501,'Woolworths Products'!$A$2:$A$208,0))</f>
        <v>73.989999999999995</v>
      </c>
      <c r="K501" s="20">
        <f>IF(COUNTIFS($A$2:A501,A501,$E$2:E501,E501)=1,ROUNDUP(SUMIFS($G:$G,$A:$A,A501,$E:$E,E501)/I501,0),0)</f>
        <v>1</v>
      </c>
      <c r="L501" s="20">
        <f t="shared" si="50"/>
        <v>73.989999999999995</v>
      </c>
      <c r="M501" s="20">
        <f t="shared" si="51"/>
        <v>11.0985</v>
      </c>
      <c r="N501" s="21" t="s">
        <v>1062</v>
      </c>
    </row>
    <row r="502" spans="1:14" x14ac:dyDescent="0.2">
      <c r="A502" s="12" t="s">
        <v>80</v>
      </c>
      <c r="B502" s="12" t="s">
        <v>50</v>
      </c>
      <c r="C502" s="12" t="s">
        <v>1063</v>
      </c>
      <c r="D502" s="12" t="s">
        <v>298</v>
      </c>
      <c r="E502" s="13" t="s">
        <v>1064</v>
      </c>
      <c r="F502" s="14" t="str">
        <f>INDEX('Woolworths Products'!$B$2:$B$208,MATCH($E502,'Woolworths Products'!$A$2:$A$208,0))</f>
        <v>Artichokes 350 g</v>
      </c>
      <c r="G502" s="15">
        <v>1</v>
      </c>
      <c r="H502" s="14" t="str">
        <f>INDEX('Woolworths Products'!$G$2:$G$208,MATCH($E502,'Woolworths Products'!$A$2:$A$208,0))</f>
        <v>ea</v>
      </c>
      <c r="I502" s="14">
        <f>INDEX('Woolworths Products'!$F$2:$F$208,MATCH($E502,'Woolworths Products'!$A$2:$A$208,0))</f>
        <v>1</v>
      </c>
      <c r="J502" s="14">
        <f>INDEX('Woolworths Products'!$E$2:$E$208,MATCH($E502,'Woolworths Products'!$A$2:$A$208,0))</f>
        <v>59.99</v>
      </c>
      <c r="K502" s="5">
        <f>IF(COUNTIFS($A$2:A502,A502,$E$2:E502,E502)=1,ROUNDUP(SUMIFS($G:$G,$A:$A,A502,$E:$E,E502)/I502,0),0)</f>
        <v>1</v>
      </c>
      <c r="L502" s="5">
        <f t="shared" si="50"/>
        <v>59.99</v>
      </c>
      <c r="M502" s="5">
        <f t="shared" si="51"/>
        <v>59.99</v>
      </c>
      <c r="N502" s="9" t="s">
        <v>1065</v>
      </c>
    </row>
    <row r="503" spans="1:14" x14ac:dyDescent="0.2">
      <c r="A503" s="16" t="s">
        <v>80</v>
      </c>
      <c r="B503" s="16" t="s">
        <v>50</v>
      </c>
      <c r="C503" s="16" t="s">
        <v>953</v>
      </c>
      <c r="D503" s="16" t="s">
        <v>298</v>
      </c>
      <c r="E503" s="17" t="s">
        <v>954</v>
      </c>
      <c r="F503" s="18" t="str">
        <f>INDEX('Woolworths Products'!$B$2:$B$208,MATCH($E503,'Woolworths Products'!$A$2:$A$208,0))</f>
        <v>Rosa Tomatoes 200 g</v>
      </c>
      <c r="G503" s="19">
        <v>1</v>
      </c>
      <c r="H503" s="18" t="str">
        <f>INDEX('Woolworths Products'!$G$2:$G$208,MATCH($E503,'Woolworths Products'!$A$2:$A$208,0))</f>
        <v>ea</v>
      </c>
      <c r="I503" s="18">
        <f>INDEX('Woolworths Products'!$F$2:$F$208,MATCH($E503,'Woolworths Products'!$A$2:$A$208,0))</f>
        <v>1</v>
      </c>
      <c r="J503" s="18">
        <f>INDEX('Woolworths Products'!$E$2:$E$208,MATCH($E503,'Woolworths Products'!$A$2:$A$208,0))</f>
        <v>28.99</v>
      </c>
      <c r="K503" s="20">
        <f>IF(COUNTIFS($A$2:A503,A503,$E$2:E503,E503)=1,ROUNDUP(SUMIFS($G:$G,$A:$A,A503,$E:$E,E503)/I503,0),0)</f>
        <v>1</v>
      </c>
      <c r="L503" s="20">
        <f t="shared" si="50"/>
        <v>28.99</v>
      </c>
      <c r="M503" s="20">
        <f t="shared" si="51"/>
        <v>28.99</v>
      </c>
      <c r="N503" s="21" t="s">
        <v>741</v>
      </c>
    </row>
    <row r="504" spans="1:14" x14ac:dyDescent="0.2">
      <c r="A504" s="12" t="s">
        <v>80</v>
      </c>
      <c r="B504" s="12" t="s">
        <v>50</v>
      </c>
      <c r="C504" s="12" t="s">
        <v>1066</v>
      </c>
      <c r="D504" s="12" t="s">
        <v>298</v>
      </c>
      <c r="E504" s="13" t="s">
        <v>456</v>
      </c>
      <c r="F504" s="14" t="str">
        <f>INDEX('Woolworths Products'!$B$2:$B$208,MATCH($E504,'Woolworths Products'!$A$2:$A$208,0))</f>
        <v>Chickpeas in Brine 400 g</v>
      </c>
      <c r="G504" s="15">
        <v>1</v>
      </c>
      <c r="H504" s="14" t="str">
        <f>INDEX('Woolworths Products'!$G$2:$G$208,MATCH($E504,'Woolworths Products'!$A$2:$A$208,0))</f>
        <v>ea</v>
      </c>
      <c r="I504" s="14">
        <f>INDEX('Woolworths Products'!$F$2:$F$208,MATCH($E504,'Woolworths Products'!$A$2:$A$208,0))</f>
        <v>1</v>
      </c>
      <c r="J504" s="14">
        <f>INDEX('Woolworths Products'!$E$2:$E$208,MATCH($E504,'Woolworths Products'!$A$2:$A$208,0))</f>
        <v>28.99</v>
      </c>
      <c r="K504" s="5">
        <f>IF(COUNTIFS($A$2:A504,A504,$E$2:E504,E504)=1,ROUNDUP(SUMIFS($G:$G,$A:$A,A504,$E:$E,E504)/I504,0),0)</f>
        <v>1</v>
      </c>
      <c r="L504" s="5">
        <f t="shared" ref="L504:L535" si="52">K504*J504</f>
        <v>28.99</v>
      </c>
      <c r="M504" s="5">
        <f t="shared" ref="M504:M521" si="53">G504/I504*J504</f>
        <v>28.99</v>
      </c>
      <c r="N504" s="9"/>
    </row>
    <row r="505" spans="1:14" x14ac:dyDescent="0.2">
      <c r="A505" s="16" t="s">
        <v>80</v>
      </c>
      <c r="B505" s="16" t="s">
        <v>50</v>
      </c>
      <c r="C505" s="16" t="s">
        <v>630</v>
      </c>
      <c r="D505" s="16" t="s">
        <v>298</v>
      </c>
      <c r="E505" s="17" t="s">
        <v>377</v>
      </c>
      <c r="F505" s="18" t="str">
        <f>INDEX('Woolworths Products'!$B$2:$B$208,MATCH($E505,'Woolworths Products'!$A$2:$A$208,0))</f>
        <v>Fresh Peeled Garlic 50 g</v>
      </c>
      <c r="G505" s="19">
        <v>2</v>
      </c>
      <c r="H505" s="18" t="str">
        <f>INDEX('Woolworths Products'!$G$2:$G$208,MATCH($E505,'Woolworths Products'!$A$2:$A$208,0))</f>
        <v>clove</v>
      </c>
      <c r="I505" s="18">
        <f>INDEX('Woolworths Products'!$F$2:$F$208,MATCH($E505,'Woolworths Products'!$A$2:$A$208,0))</f>
        <v>10</v>
      </c>
      <c r="J505" s="18">
        <f>INDEX('Woolworths Products'!$E$2:$E$208,MATCH($E505,'Woolworths Products'!$A$2:$A$208,0))</f>
        <v>29.99</v>
      </c>
      <c r="K505" s="20">
        <f>IF(COUNTIFS($A$2:A505,A505,$E$2:E505,E505)=1,ROUNDUP(SUMIFS($G:$G,$A:$A,A505,$E:$E,E505)/I505,0),0)</f>
        <v>1</v>
      </c>
      <c r="L505" s="20">
        <f t="shared" si="52"/>
        <v>29.99</v>
      </c>
      <c r="M505" s="20">
        <f t="shared" si="53"/>
        <v>5.9980000000000002</v>
      </c>
      <c r="N505" s="21" t="s">
        <v>464</v>
      </c>
    </row>
    <row r="506" spans="1:14" x14ac:dyDescent="0.2">
      <c r="A506" s="12" t="s">
        <v>80</v>
      </c>
      <c r="B506" s="12" t="s">
        <v>50</v>
      </c>
      <c r="C506" s="12" t="s">
        <v>1067</v>
      </c>
      <c r="D506" s="12" t="s">
        <v>298</v>
      </c>
      <c r="E506" s="13" t="s">
        <v>323</v>
      </c>
      <c r="F506" s="14" t="str">
        <f>INDEX('Woolworths Products'!$B$2:$B$208,MATCH($E506,'Woolworths Products'!$A$2:$A$208,0))</f>
        <v>Lemons 3 pk</v>
      </c>
      <c r="G506" s="15">
        <v>1</v>
      </c>
      <c r="H506" s="14" t="str">
        <f>INDEX('Woolworths Products'!$G$2:$G$208,MATCH($E506,'Woolworths Products'!$A$2:$A$208,0))</f>
        <v>ea</v>
      </c>
      <c r="I506" s="14">
        <f>INDEX('Woolworths Products'!$F$2:$F$208,MATCH($E506,'Woolworths Products'!$A$2:$A$208,0))</f>
        <v>3</v>
      </c>
      <c r="J506" s="14">
        <f>INDEX('Woolworths Products'!$E$2:$E$208,MATCH($E506,'Woolworths Products'!$A$2:$A$208,0))</f>
        <v>27.99</v>
      </c>
      <c r="K506" s="5">
        <f>IF(COUNTIFS($A$2:A506,A506,$E$2:E506,E506)=1,ROUNDUP(SUMIFS($G:$G,$A:$A,A506,$E:$E,E506)/I506,0),0)</f>
        <v>1</v>
      </c>
      <c r="L506" s="5">
        <f t="shared" si="52"/>
        <v>27.99</v>
      </c>
      <c r="M506" s="5">
        <f t="shared" si="53"/>
        <v>9.3299999999999983</v>
      </c>
      <c r="N506" s="9"/>
    </row>
    <row r="507" spans="1:14" x14ac:dyDescent="0.2">
      <c r="A507" s="16" t="s">
        <v>80</v>
      </c>
      <c r="B507" s="16" t="s">
        <v>50</v>
      </c>
      <c r="C507" s="16" t="s">
        <v>648</v>
      </c>
      <c r="D507" s="16" t="s">
        <v>298</v>
      </c>
      <c r="E507" s="17" t="s">
        <v>330</v>
      </c>
      <c r="F507" s="18" t="str">
        <f>INDEX('Woolworths Products'!$B$2:$B$208,MATCH($E507,'Woolworths Products'!$A$2:$A$208,0))</f>
        <v>Prince Albert Extra Virgin Olive Oil 250 ml</v>
      </c>
      <c r="G507" s="19">
        <v>30</v>
      </c>
      <c r="H507" s="18" t="str">
        <f>INDEX('Woolworths Products'!$G$2:$G$208,MATCH($E507,'Woolworths Products'!$A$2:$A$208,0))</f>
        <v>ml</v>
      </c>
      <c r="I507" s="18">
        <f>INDEX('Woolworths Products'!$F$2:$F$208,MATCH($E507,'Woolworths Products'!$A$2:$A$208,0))</f>
        <v>250</v>
      </c>
      <c r="J507" s="18">
        <f>INDEX('Woolworths Products'!$E$2:$E$208,MATCH($E507,'Woolworths Products'!$A$2:$A$208,0))</f>
        <v>109.99</v>
      </c>
      <c r="K507" s="20">
        <f>IF(COUNTIFS($A$2:A507,A507,$E$2:E507,E507)=1,ROUNDUP(SUMIFS($G:$G,$A:$A,A507,$E:$E,E507)/I507,0),0)</f>
        <v>1</v>
      </c>
      <c r="L507" s="20">
        <f t="shared" si="52"/>
        <v>109.99</v>
      </c>
      <c r="M507" s="20">
        <f t="shared" si="53"/>
        <v>13.198799999999999</v>
      </c>
      <c r="N507" s="21" t="s">
        <v>623</v>
      </c>
    </row>
    <row r="508" spans="1:14" x14ac:dyDescent="0.2">
      <c r="A508" s="12" t="s">
        <v>80</v>
      </c>
      <c r="B508" s="12" t="s">
        <v>50</v>
      </c>
      <c r="C508" s="12" t="s">
        <v>494</v>
      </c>
      <c r="D508" s="12" t="s">
        <v>298</v>
      </c>
      <c r="E508" s="13" t="s">
        <v>495</v>
      </c>
      <c r="F508" s="14" t="str">
        <f>INDEX('Woolworths Products'!$B$2:$B$208,MATCH($E508,'Woolworths Products'!$A$2:$A$208,0))</f>
        <v>Fresh Thyme 20 g</v>
      </c>
      <c r="G508" s="15">
        <v>0.25</v>
      </c>
      <c r="H508" s="14" t="str">
        <f>INDEX('Woolworths Products'!$G$2:$G$208,MATCH($E508,'Woolworths Products'!$A$2:$A$208,0))</f>
        <v>punnet</v>
      </c>
      <c r="I508" s="14">
        <f>INDEX('Woolworths Products'!$F$2:$F$208,MATCH($E508,'Woolworths Products'!$A$2:$A$208,0))</f>
        <v>1</v>
      </c>
      <c r="J508" s="14">
        <f>INDEX('Woolworths Products'!$E$2:$E$208,MATCH($E508,'Woolworths Products'!$A$2:$A$208,0))</f>
        <v>15.99</v>
      </c>
      <c r="K508" s="5">
        <f>IF(COUNTIFS($A$2:A508,A508,$E$2:E508,E508)=1,ROUNDUP(SUMIFS($G:$G,$A:$A,A508,$E:$E,E508)/I508,0),0)</f>
        <v>1</v>
      </c>
      <c r="L508" s="5">
        <f t="shared" si="52"/>
        <v>15.99</v>
      </c>
      <c r="M508" s="5">
        <f t="shared" si="53"/>
        <v>3.9975000000000001</v>
      </c>
      <c r="N508" s="9"/>
    </row>
    <row r="509" spans="1:14" x14ac:dyDescent="0.2">
      <c r="A509" s="12" t="s">
        <v>80</v>
      </c>
      <c r="B509" s="12" t="s">
        <v>50</v>
      </c>
      <c r="C509" s="12" t="s">
        <v>1068</v>
      </c>
      <c r="D509" s="12" t="s">
        <v>298</v>
      </c>
      <c r="E509" s="13" t="s">
        <v>960</v>
      </c>
      <c r="F509" s="14" t="str">
        <f>INDEX('Woolworths Products'!$B$2:$B$208,MATCH($E509,'Woolworths Products'!$A$2:$A$208,0))</f>
        <v>Fully Cooked Bulgur, Quinoa and Lentil 250 g</v>
      </c>
      <c r="G509" s="15">
        <v>1</v>
      </c>
      <c r="H509" s="14" t="str">
        <f>INDEX('Woolworths Products'!$G$2:$G$208,MATCH($E509,'Woolworths Products'!$A$2:$A$208,0))</f>
        <v>ea</v>
      </c>
      <c r="I509" s="14">
        <f>INDEX('Woolworths Products'!$F$2:$F$208,MATCH($E509,'Woolworths Products'!$A$2:$A$208,0))</f>
        <v>1</v>
      </c>
      <c r="J509" s="14">
        <f>INDEX('Woolworths Products'!$E$2:$E$208,MATCH($E509,'Woolworths Products'!$A$2:$A$208,0))</f>
        <v>39.99</v>
      </c>
      <c r="K509" s="5">
        <f>IF(COUNTIFS($A$2:A509,A509,$E$2:E509,E509)=1,ROUNDUP(SUMIFS($G:$G,$A:$A,A509,$E:$E,E509)/I509,0),0)</f>
        <v>1</v>
      </c>
      <c r="L509" s="5">
        <f t="shared" si="52"/>
        <v>39.99</v>
      </c>
      <c r="M509" s="5">
        <f t="shared" si="53"/>
        <v>39.99</v>
      </c>
      <c r="N509" s="9"/>
    </row>
    <row r="510" spans="1:14" x14ac:dyDescent="0.2">
      <c r="A510" s="12" t="s">
        <v>80</v>
      </c>
      <c r="B510" s="12" t="s">
        <v>50</v>
      </c>
      <c r="C510" s="12" t="s">
        <v>1069</v>
      </c>
      <c r="D510" s="12" t="s">
        <v>298</v>
      </c>
      <c r="E510" s="13" t="s">
        <v>318</v>
      </c>
      <c r="F510" s="14" t="str">
        <f>INDEX('Woolworths Products'!$B$2:$B$208,MATCH($E510,'Woolworths Products'!$A$2:$A$208,0))</f>
        <v>Plain South African Feta Cheese 100 g</v>
      </c>
      <c r="G510" s="15">
        <v>150</v>
      </c>
      <c r="H510" s="14" t="str">
        <f>INDEX('Woolworths Products'!$G$2:$G$208,MATCH($E510,'Woolworths Products'!$A$2:$A$208,0))</f>
        <v>g</v>
      </c>
      <c r="I510" s="14">
        <f>INDEX('Woolworths Products'!$F$2:$F$208,MATCH($E510,'Woolworths Products'!$A$2:$A$208,0))</f>
        <v>100</v>
      </c>
      <c r="J510" s="14">
        <f>INDEX('Woolworths Products'!$E$2:$E$208,MATCH($E510,'Woolworths Products'!$A$2:$A$208,0))</f>
        <v>24.99</v>
      </c>
      <c r="K510" s="5">
        <f>IF(COUNTIFS($A$2:A510,A510,$E$2:E510,E510)=1,ROUNDUP(SUMIFS($G:$G,$A:$A,A510,$E:$E,E510)/I510,0),0)</f>
        <v>2</v>
      </c>
      <c r="L510" s="5">
        <f t="shared" si="52"/>
        <v>49.98</v>
      </c>
      <c r="M510" s="5">
        <f t="shared" si="53"/>
        <v>37.484999999999999</v>
      </c>
      <c r="N510" s="9" t="s">
        <v>341</v>
      </c>
    </row>
    <row r="511" spans="1:14" x14ac:dyDescent="0.2">
      <c r="A511" s="12" t="s">
        <v>81</v>
      </c>
      <c r="B511" s="12" t="s">
        <v>11</v>
      </c>
      <c r="C511" s="12" t="s">
        <v>470</v>
      </c>
      <c r="D511" s="12" t="s">
        <v>298</v>
      </c>
      <c r="E511" s="13" t="s">
        <v>371</v>
      </c>
      <c r="F511" s="14" t="str">
        <f>INDEX('Woolworths Products'!$B$2:$B$208,MATCH($E511,'Woolworths Products'!$A$2:$A$208,0))</f>
        <v>Halaal Lean Beef Mince 500 g</v>
      </c>
      <c r="G511" s="15">
        <v>500</v>
      </c>
      <c r="H511" s="14" t="str">
        <f>INDEX('Woolworths Products'!$G$2:$G$208,MATCH($E511,'Woolworths Products'!$A$2:$A$208,0))</f>
        <v>g</v>
      </c>
      <c r="I511" s="14">
        <f>INDEX('Woolworths Products'!$F$2:$F$208,MATCH($E511,'Woolworths Products'!$A$2:$A$208,0))</f>
        <v>500</v>
      </c>
      <c r="J511" s="14">
        <f>INDEX('Woolworths Products'!$E$2:$E$208,MATCH($E511,'Woolworths Products'!$A$2:$A$208,0))</f>
        <v>64.989999999999995</v>
      </c>
      <c r="K511" s="5">
        <f>IF(COUNTIFS($A$2:A511,A511,$E$2:E511,E511)=1,ROUNDUP(SUMIFS($G:$G,$A:$A,A511,$E:$E,E511)/I511,0),0)</f>
        <v>1</v>
      </c>
      <c r="L511" s="5">
        <f t="shared" si="52"/>
        <v>64.989999999999995</v>
      </c>
      <c r="M511" s="5">
        <f t="shared" si="53"/>
        <v>64.989999999999995</v>
      </c>
      <c r="N511" s="9"/>
    </row>
    <row r="512" spans="1:14" x14ac:dyDescent="0.2">
      <c r="A512" s="12" t="s">
        <v>81</v>
      </c>
      <c r="B512" s="12" t="s">
        <v>11</v>
      </c>
      <c r="C512" s="12" t="s">
        <v>471</v>
      </c>
      <c r="D512" s="12" t="s">
        <v>298</v>
      </c>
      <c r="E512" s="13" t="s">
        <v>343</v>
      </c>
      <c r="F512" s="14" t="str">
        <f>INDEX('Woolworths Products'!$B$2:$B$208,MATCH($E512,'Woolworths Products'!$A$2:$A$208,0))</f>
        <v>Brown Onions 1 kg</v>
      </c>
      <c r="G512" s="15">
        <v>150</v>
      </c>
      <c r="H512" s="14" t="str">
        <f>INDEX('Woolworths Products'!$G$2:$G$208,MATCH($E512,'Woolworths Products'!$A$2:$A$208,0))</f>
        <v>g</v>
      </c>
      <c r="I512" s="14">
        <f>INDEX('Woolworths Products'!$F$2:$F$208,MATCH($E512,'Woolworths Products'!$A$2:$A$208,0))</f>
        <v>1000</v>
      </c>
      <c r="J512" s="14">
        <f>INDEX('Woolworths Products'!$E$2:$E$208,MATCH($E512,'Woolworths Products'!$A$2:$A$208,0))</f>
        <v>39.9</v>
      </c>
      <c r="K512" s="5">
        <f>IF(COUNTIFS($A$2:A512,A512,$E$2:E512,E512)=1,ROUNDUP(SUMIFS($G:$G,$A:$A,A512,$E:$E,E512)/I512,0),0)</f>
        <v>1</v>
      </c>
      <c r="L512" s="5">
        <f t="shared" si="52"/>
        <v>39.9</v>
      </c>
      <c r="M512" s="5">
        <f t="shared" si="53"/>
        <v>5.9849999999999994</v>
      </c>
      <c r="N512" s="9" t="s">
        <v>344</v>
      </c>
    </row>
    <row r="513" spans="1:14" x14ac:dyDescent="0.2">
      <c r="A513" s="12" t="s">
        <v>81</v>
      </c>
      <c r="B513" s="12" t="s">
        <v>11</v>
      </c>
      <c r="C513" s="12" t="s">
        <v>472</v>
      </c>
      <c r="D513" s="12" t="s">
        <v>298</v>
      </c>
      <c r="E513" s="13" t="s">
        <v>377</v>
      </c>
      <c r="F513" s="14" t="str">
        <f>INDEX('Woolworths Products'!$B$2:$B$208,MATCH($E513,'Woolworths Products'!$A$2:$A$208,0))</f>
        <v>Fresh Peeled Garlic 50 g</v>
      </c>
      <c r="G513" s="15">
        <v>2.5</v>
      </c>
      <c r="H513" s="14" t="str">
        <f>INDEX('Woolworths Products'!$G$2:$G$208,MATCH($E513,'Woolworths Products'!$A$2:$A$208,0))</f>
        <v>clove</v>
      </c>
      <c r="I513" s="14">
        <f>INDEX('Woolworths Products'!$F$2:$F$208,MATCH($E513,'Woolworths Products'!$A$2:$A$208,0))</f>
        <v>10</v>
      </c>
      <c r="J513" s="14">
        <f>INDEX('Woolworths Products'!$E$2:$E$208,MATCH($E513,'Woolworths Products'!$A$2:$A$208,0))</f>
        <v>29.99</v>
      </c>
      <c r="K513" s="5">
        <f>IF(COUNTIFS($A$2:A513,A513,$E$2:E513,E513)=1,ROUNDUP(SUMIFS($G:$G,$A:$A,A513,$E:$E,E513)/I513,0),0)</f>
        <v>1</v>
      </c>
      <c r="L513" s="5">
        <f t="shared" si="52"/>
        <v>29.99</v>
      </c>
      <c r="M513" s="5">
        <f t="shared" si="53"/>
        <v>7.4974999999999996</v>
      </c>
      <c r="N513" s="9" t="s">
        <v>378</v>
      </c>
    </row>
    <row r="514" spans="1:14" x14ac:dyDescent="0.2">
      <c r="A514" s="12" t="s">
        <v>81</v>
      </c>
      <c r="B514" s="12" t="s">
        <v>11</v>
      </c>
      <c r="C514" s="12" t="s">
        <v>473</v>
      </c>
      <c r="D514" s="12" t="s">
        <v>298</v>
      </c>
      <c r="E514" s="13" t="s">
        <v>304</v>
      </c>
      <c r="F514" s="14" t="str">
        <f>INDEX('Woolworths Products'!$B$2:$B$208,MATCH($E514,'Woolworths Products'!$A$2:$A$208,0))</f>
        <v>Medium Carrots 500 g</v>
      </c>
      <c r="G514" s="15">
        <v>160</v>
      </c>
      <c r="H514" s="14" t="str">
        <f>INDEX('Woolworths Products'!$G$2:$G$208,MATCH($E514,'Woolworths Products'!$A$2:$A$208,0))</f>
        <v>g</v>
      </c>
      <c r="I514" s="14">
        <f>INDEX('Woolworths Products'!$F$2:$F$208,MATCH($E514,'Woolworths Products'!$A$2:$A$208,0))</f>
        <v>500</v>
      </c>
      <c r="J514" s="14">
        <f>INDEX('Woolworths Products'!$E$2:$E$208,MATCH($E514,'Woolworths Products'!$A$2:$A$208,0))</f>
        <v>14.99</v>
      </c>
      <c r="K514" s="5">
        <f>IF(COUNTIFS($A$2:A514,A514,$E$2:E514,E514)=1,ROUNDUP(SUMIFS($G:$G,$A:$A,A514,$E:$E,E514)/I514,0),0)</f>
        <v>1</v>
      </c>
      <c r="L514" s="5">
        <f t="shared" si="52"/>
        <v>14.99</v>
      </c>
      <c r="M514" s="5">
        <f t="shared" si="53"/>
        <v>4.7968000000000002</v>
      </c>
      <c r="N514" s="9"/>
    </row>
    <row r="515" spans="1:14" x14ac:dyDescent="0.2">
      <c r="A515" s="12" t="s">
        <v>81</v>
      </c>
      <c r="B515" s="12" t="s">
        <v>11</v>
      </c>
      <c r="C515" s="12" t="s">
        <v>476</v>
      </c>
      <c r="D515" s="12" t="s">
        <v>298</v>
      </c>
      <c r="E515" s="13" t="s">
        <v>301</v>
      </c>
      <c r="F515" s="14" t="str">
        <f>INDEX('Woolworths Products'!$B$2:$B$208,MATCH($E515,'Woolworths Products'!$A$2:$A$208,0))</f>
        <v>Baby Marrows 350 g</v>
      </c>
      <c r="G515" s="15">
        <v>315</v>
      </c>
      <c r="H515" s="14" t="str">
        <f>INDEX('Woolworths Products'!$G$2:$G$208,MATCH($E515,'Woolworths Products'!$A$2:$A$208,0))</f>
        <v>g</v>
      </c>
      <c r="I515" s="14">
        <f>INDEX('Woolworths Products'!$F$2:$F$208,MATCH($E515,'Woolworths Products'!$A$2:$A$208,0))</f>
        <v>350</v>
      </c>
      <c r="J515" s="14">
        <f>INDEX('Woolworths Products'!$E$2:$E$208,MATCH($E515,'Woolworths Products'!$A$2:$A$208,0))</f>
        <v>32.99</v>
      </c>
      <c r="K515" s="5">
        <f>IF(COUNTIFS($A$2:A515,A515,$E$2:E515,E515)=1,ROUNDUP(SUMIFS($G:$G,$A:$A,A515,$E:$E,E515)/I515,0),0)</f>
        <v>1</v>
      </c>
      <c r="L515" s="5">
        <f t="shared" si="52"/>
        <v>32.99</v>
      </c>
      <c r="M515" s="5">
        <f t="shared" si="53"/>
        <v>29.691000000000003</v>
      </c>
      <c r="N515" s="9"/>
    </row>
    <row r="516" spans="1:14" x14ac:dyDescent="0.2">
      <c r="A516" s="12" t="s">
        <v>81</v>
      </c>
      <c r="B516" s="12" t="s">
        <v>11</v>
      </c>
      <c r="C516" s="12" t="s">
        <v>478</v>
      </c>
      <c r="D516" s="12" t="s">
        <v>298</v>
      </c>
      <c r="E516" s="13" t="s">
        <v>479</v>
      </c>
      <c r="F516" s="14" t="str">
        <f>INDEX('Woolworths Products'!$B$2:$B$208,MATCH($E516,'Woolworths Products'!$A$2:$A$208,0))</f>
        <v>Slicing Tomatoes 4 pk</v>
      </c>
      <c r="G516" s="15">
        <v>2</v>
      </c>
      <c r="H516" s="14" t="str">
        <f>INDEX('Woolworths Products'!$G$2:$G$208,MATCH($E516,'Woolworths Products'!$A$2:$A$208,0))</f>
        <v>ea</v>
      </c>
      <c r="I516" s="14">
        <f>INDEX('Woolworths Products'!$F$2:$F$208,MATCH($E516,'Woolworths Products'!$A$2:$A$208,0))</f>
        <v>4</v>
      </c>
      <c r="J516" s="14">
        <f>INDEX('Woolworths Products'!$E$2:$E$208,MATCH($E516,'Woolworths Products'!$A$2:$A$208,0))</f>
        <v>26.99</v>
      </c>
      <c r="K516" s="5">
        <f>IF(COUNTIFS($A$2:A516,A516,$E$2:E516,E516)=1,ROUNDUP(SUMIFS($G:$G,$A:$A,A516,$E:$E,E516)/I516,0),0)</f>
        <v>1</v>
      </c>
      <c r="L516" s="5">
        <f t="shared" si="52"/>
        <v>26.99</v>
      </c>
      <c r="M516" s="5">
        <f t="shared" si="53"/>
        <v>13.494999999999999</v>
      </c>
      <c r="N516" s="9"/>
    </row>
    <row r="517" spans="1:14" x14ac:dyDescent="0.2">
      <c r="A517" s="12" t="s">
        <v>81</v>
      </c>
      <c r="B517" s="12" t="s">
        <v>11</v>
      </c>
      <c r="C517" s="12" t="s">
        <v>1070</v>
      </c>
      <c r="D517" s="12" t="s">
        <v>298</v>
      </c>
      <c r="E517" s="13" t="s">
        <v>564</v>
      </c>
      <c r="F517" s="14" t="str">
        <f>INDEX('Woolworths Products'!$B$2:$B$208,MATCH($E517,'Woolworths Products'!$A$2:$A$208,0))</f>
        <v>Peeled and Diced Tomatoes 400 g</v>
      </c>
      <c r="G517" s="15">
        <v>2</v>
      </c>
      <c r="H517" s="14" t="str">
        <f>INDEX('Woolworths Products'!$G$2:$G$208,MATCH($E517,'Woolworths Products'!$A$2:$A$208,0))</f>
        <v>ea</v>
      </c>
      <c r="I517" s="14">
        <f>INDEX('Woolworths Products'!$F$2:$F$208,MATCH($E517,'Woolworths Products'!$A$2:$A$208,0))</f>
        <v>1</v>
      </c>
      <c r="J517" s="14">
        <f>INDEX('Woolworths Products'!$E$2:$E$208,MATCH($E517,'Woolworths Products'!$A$2:$A$208,0))</f>
        <v>26.99</v>
      </c>
      <c r="K517" s="5">
        <f>IF(COUNTIFS($A$2:A517,A517,$E$2:E517,E517)=1,ROUNDUP(SUMIFS($G:$G,$A:$A,A517,$E:$E,E517)/I517,0),0)</f>
        <v>2</v>
      </c>
      <c r="L517" s="5">
        <f t="shared" si="52"/>
        <v>53.98</v>
      </c>
      <c r="M517" s="5">
        <f t="shared" si="53"/>
        <v>53.98</v>
      </c>
      <c r="N517" s="9" t="s">
        <v>1071</v>
      </c>
    </row>
    <row r="518" spans="1:14" x14ac:dyDescent="0.2">
      <c r="A518" s="12" t="s">
        <v>81</v>
      </c>
      <c r="B518" s="12" t="s">
        <v>11</v>
      </c>
      <c r="C518" s="12" t="s">
        <v>1072</v>
      </c>
      <c r="D518" s="12" t="s">
        <v>298</v>
      </c>
      <c r="E518" s="13" t="s">
        <v>1073</v>
      </c>
      <c r="F518" s="14" t="str">
        <f>INDEX('Woolworths Products'!$B$2:$B$208,MATCH($E518,'Woolworths Products'!$A$2:$A$208,0))</f>
        <v>Lentils in Tomato Brine 400 g</v>
      </c>
      <c r="G518" s="15">
        <v>1</v>
      </c>
      <c r="H518" s="14" t="str">
        <f>INDEX('Woolworths Products'!$G$2:$G$208,MATCH($E518,'Woolworths Products'!$A$2:$A$208,0))</f>
        <v>ea</v>
      </c>
      <c r="I518" s="14">
        <f>INDEX('Woolworths Products'!$F$2:$F$208,MATCH($E518,'Woolworths Products'!$A$2:$A$208,0))</f>
        <v>1</v>
      </c>
      <c r="J518" s="14">
        <f>INDEX('Woolworths Products'!$E$2:$E$208,MATCH($E518,'Woolworths Products'!$A$2:$A$208,0))</f>
        <v>28.99</v>
      </c>
      <c r="K518" s="5">
        <f>IF(COUNTIFS($A$2:A518,A518,$E$2:E518,E518)=1,ROUNDUP(SUMIFS($G:$G,$A:$A,A518,$E:$E,E518)/I518,0),0)</f>
        <v>1</v>
      </c>
      <c r="L518" s="5">
        <f t="shared" si="52"/>
        <v>28.99</v>
      </c>
      <c r="M518" s="5">
        <f t="shared" si="53"/>
        <v>28.99</v>
      </c>
      <c r="N518" s="9"/>
    </row>
    <row r="519" spans="1:14" x14ac:dyDescent="0.2">
      <c r="A519" s="12" t="s">
        <v>81</v>
      </c>
      <c r="B519" s="12" t="s">
        <v>11</v>
      </c>
      <c r="C519" s="12" t="s">
        <v>1074</v>
      </c>
      <c r="D519" s="12" t="s">
        <v>298</v>
      </c>
      <c r="E519" s="13" t="s">
        <v>483</v>
      </c>
      <c r="F519" s="14" t="str">
        <f>INDEX('Woolworths Products'!$B$2:$B$208,MATCH($E519,'Woolworths Products'!$A$2:$A$208,0))</f>
        <v>Tomato Paste 70 g</v>
      </c>
      <c r="G519" s="15">
        <v>100</v>
      </c>
      <c r="H519" s="14" t="str">
        <f>INDEX('Woolworths Products'!$G$2:$G$208,MATCH($E519,'Woolworths Products'!$A$2:$A$208,0))</f>
        <v>g</v>
      </c>
      <c r="I519" s="14">
        <f>INDEX('Woolworths Products'!$F$2:$F$208,MATCH($E519,'Woolworths Products'!$A$2:$A$208,0))</f>
        <v>70</v>
      </c>
      <c r="J519" s="14">
        <f>INDEX('Woolworths Products'!$E$2:$E$208,MATCH($E519,'Woolworths Products'!$A$2:$A$208,0))</f>
        <v>17.989999999999998</v>
      </c>
      <c r="K519" s="5">
        <f>IF(COUNTIFS($A$2:A519,A519,$E$2:E519,E519)=1,ROUNDUP(SUMIFS($G:$G,$A:$A,A519,$E:$E,E519)/I519,0),0)</f>
        <v>2</v>
      </c>
      <c r="L519" s="5">
        <f t="shared" si="52"/>
        <v>35.979999999999997</v>
      </c>
      <c r="M519" s="5">
        <f t="shared" si="53"/>
        <v>25.7</v>
      </c>
      <c r="N519" s="9" t="s">
        <v>484</v>
      </c>
    </row>
    <row r="520" spans="1:14" x14ac:dyDescent="0.2">
      <c r="A520" s="12" t="s">
        <v>81</v>
      </c>
      <c r="B520" s="12" t="s">
        <v>11</v>
      </c>
      <c r="C520" s="12" t="s">
        <v>1075</v>
      </c>
      <c r="D520" s="12" t="s">
        <v>298</v>
      </c>
      <c r="E520" s="13" t="s">
        <v>486</v>
      </c>
      <c r="F520" s="14" t="str">
        <f>INDEX('Woolworths Products'!$B$2:$B$208,MATCH($E520,'Woolworths Products'!$A$2:$A$208,0))</f>
        <v>Fresh Basil 30 g</v>
      </c>
      <c r="G520" s="15">
        <v>0.5</v>
      </c>
      <c r="H520" s="14" t="str">
        <f>INDEX('Woolworths Products'!$G$2:$G$208,MATCH($E520,'Woolworths Products'!$A$2:$A$208,0))</f>
        <v>punnet</v>
      </c>
      <c r="I520" s="14">
        <f>INDEX('Woolworths Products'!$F$2:$F$208,MATCH($E520,'Woolworths Products'!$A$2:$A$208,0))</f>
        <v>1</v>
      </c>
      <c r="J520" s="14">
        <f>INDEX('Woolworths Products'!$E$2:$E$208,MATCH($E520,'Woolworths Products'!$A$2:$A$208,0))</f>
        <v>15.99</v>
      </c>
      <c r="K520" s="5">
        <f>IF(COUNTIFS($A$2:A520,A520,$E$2:E520,E520)=1,ROUNDUP(SUMIFS($G:$G,$A:$A,A520,$E:$E,E520)/I520,0),0)</f>
        <v>1</v>
      </c>
      <c r="L520" s="5">
        <f t="shared" si="52"/>
        <v>15.99</v>
      </c>
      <c r="M520" s="5">
        <f t="shared" si="53"/>
        <v>7.9950000000000001</v>
      </c>
      <c r="N520" s="9"/>
    </row>
    <row r="521" spans="1:14" x14ac:dyDescent="0.2">
      <c r="A521" s="12" t="s">
        <v>81</v>
      </c>
      <c r="B521" s="12" t="s">
        <v>11</v>
      </c>
      <c r="C521" s="12" t="s">
        <v>1076</v>
      </c>
      <c r="D521" s="12" t="s">
        <v>298</v>
      </c>
      <c r="E521" s="13" t="s">
        <v>495</v>
      </c>
      <c r="F521" s="14" t="str">
        <f>INDEX('Woolworths Products'!$B$2:$B$208,MATCH($E521,'Woolworths Products'!$A$2:$A$208,0))</f>
        <v>Fresh Thyme 20 g</v>
      </c>
      <c r="G521" s="15">
        <v>0.5</v>
      </c>
      <c r="H521" s="14" t="str">
        <f>INDEX('Woolworths Products'!$G$2:$G$208,MATCH($E521,'Woolworths Products'!$A$2:$A$208,0))</f>
        <v>punnet</v>
      </c>
      <c r="I521" s="14">
        <f>INDEX('Woolworths Products'!$F$2:$F$208,MATCH($E521,'Woolworths Products'!$A$2:$A$208,0))</f>
        <v>1</v>
      </c>
      <c r="J521" s="14">
        <f>INDEX('Woolworths Products'!$E$2:$E$208,MATCH($E521,'Woolworths Products'!$A$2:$A$208,0))</f>
        <v>15.99</v>
      </c>
      <c r="K521" s="5">
        <f>IF(COUNTIFS($A$2:A521,A521,$E$2:E521,E521)=1,ROUNDUP(SUMIFS($G:$G,$A:$A,A521,$E:$E,E521)/I521,0),0)</f>
        <v>1</v>
      </c>
      <c r="L521" s="5">
        <f t="shared" si="52"/>
        <v>15.99</v>
      </c>
      <c r="M521" s="5">
        <f t="shared" si="53"/>
        <v>7.9950000000000001</v>
      </c>
      <c r="N521" s="9"/>
    </row>
    <row r="522" spans="1:14" x14ac:dyDescent="0.2">
      <c r="A522" s="13" t="s">
        <v>81</v>
      </c>
      <c r="B522" s="13" t="s">
        <v>11</v>
      </c>
      <c r="C522" s="13" t="s">
        <v>487</v>
      </c>
      <c r="D522" s="13" t="s">
        <v>349</v>
      </c>
      <c r="E522" s="13"/>
      <c r="L522" s="5">
        <v>0</v>
      </c>
      <c r="M522" s="5">
        <v>0</v>
      </c>
      <c r="N522" s="9" t="s">
        <v>348</v>
      </c>
    </row>
    <row r="523" spans="1:14" x14ac:dyDescent="0.2">
      <c r="A523" s="12" t="s">
        <v>82</v>
      </c>
      <c r="B523" s="12" t="s">
        <v>11</v>
      </c>
      <c r="C523" s="12" t="s">
        <v>1077</v>
      </c>
      <c r="D523" s="12" t="s">
        <v>1078</v>
      </c>
      <c r="E523" s="13"/>
      <c r="F523" s="5" t="s">
        <v>1079</v>
      </c>
      <c r="G523" s="15">
        <v>1</v>
      </c>
      <c r="H523" s="5" t="s">
        <v>1080</v>
      </c>
      <c r="L523" s="5">
        <f>G523*SUMIFS($L:$L,$A:$A,"5 Veg Mince (freezer base)")</f>
        <v>360.78000000000009</v>
      </c>
      <c r="M523" s="5">
        <f>G523*SUMIFS($M:$M,$A:$A,"5 Veg Mince (freezer base)")</f>
        <v>251.11530000000002</v>
      </c>
      <c r="N523" s="9" t="s">
        <v>1081</v>
      </c>
    </row>
    <row r="524" spans="1:14" x14ac:dyDescent="0.2">
      <c r="A524" s="16" t="s">
        <v>82</v>
      </c>
      <c r="B524" s="16" t="s">
        <v>11</v>
      </c>
      <c r="C524" s="16" t="s">
        <v>1082</v>
      </c>
      <c r="D524" s="16" t="s">
        <v>298</v>
      </c>
      <c r="E524" s="17" t="s">
        <v>1083</v>
      </c>
      <c r="F524" s="18" t="str">
        <f>INDEX('Woolworths Products'!$B$2:$B$208,MATCH($E524,'Woolworths Products'!$A$2:$A$208,0))</f>
        <v>Gem Squash Halves 6 pk</v>
      </c>
      <c r="G524" s="19">
        <v>6</v>
      </c>
      <c r="H524" s="18" t="str">
        <f>INDEX('Woolworths Products'!$G$2:$G$208,MATCH($E524,'Woolworths Products'!$A$2:$A$208,0))</f>
        <v>ea</v>
      </c>
      <c r="I524" s="18">
        <f>INDEX('Woolworths Products'!$F$2:$F$208,MATCH($E524,'Woolworths Products'!$A$2:$A$208,0))</f>
        <v>6</v>
      </c>
      <c r="J524" s="18">
        <f>INDEX('Woolworths Products'!$E$2:$E$208,MATCH($E524,'Woolworths Products'!$A$2:$A$208,0))</f>
        <v>34.99</v>
      </c>
      <c r="K524" s="20">
        <f>IF(COUNTIFS($A$2:A524,A524,$E$2:E524,E524)=1,ROUNDUP(SUMIFS($G:$G,$A:$A,A524,$E:$E,E524)/I524,0),0)</f>
        <v>1</v>
      </c>
      <c r="L524" s="20">
        <f>K524*J524</f>
        <v>34.99</v>
      </c>
      <c r="M524" s="20">
        <f>G524/I524*J524</f>
        <v>34.99</v>
      </c>
      <c r="N524" s="21" t="s">
        <v>1084</v>
      </c>
    </row>
    <row r="525" spans="1:14" x14ac:dyDescent="0.2">
      <c r="A525" s="16" t="s">
        <v>82</v>
      </c>
      <c r="B525" s="16" t="s">
        <v>11</v>
      </c>
      <c r="C525" s="16" t="s">
        <v>635</v>
      </c>
      <c r="D525" s="16" t="s">
        <v>298</v>
      </c>
      <c r="E525" s="17" t="s">
        <v>509</v>
      </c>
      <c r="F525" s="18" t="str">
        <f>INDEX('Woolworths Products'!$B$2:$B$208,MATCH($E525,'Woolworths Products'!$A$2:$A$208,0))</f>
        <v>Grated Mature Cheddar Cheese 250 g</v>
      </c>
      <c r="G525" s="19">
        <v>80</v>
      </c>
      <c r="H525" s="18" t="str">
        <f>INDEX('Woolworths Products'!$G$2:$G$208,MATCH($E525,'Woolworths Products'!$A$2:$A$208,0))</f>
        <v>g</v>
      </c>
      <c r="I525" s="18">
        <f>INDEX('Woolworths Products'!$F$2:$F$208,MATCH($E525,'Woolworths Products'!$A$2:$A$208,0))</f>
        <v>250</v>
      </c>
      <c r="J525" s="18">
        <f>INDEX('Woolworths Products'!$E$2:$E$208,MATCH($E525,'Woolworths Products'!$A$2:$A$208,0))</f>
        <v>74.989999999999995</v>
      </c>
      <c r="K525" s="20">
        <f>IF(COUNTIFS($A$2:A525,A525,$E$2:E525,E525)=1,ROUNDUP(SUMIFS($G:$G,$A:$A,A525,$E:$E,E525)/I525,0),0)</f>
        <v>1</v>
      </c>
      <c r="L525" s="20">
        <f>K525*J525</f>
        <v>74.989999999999995</v>
      </c>
      <c r="M525" s="20">
        <f>G525/I525*J525</f>
        <v>23.9968</v>
      </c>
      <c r="N525" s="21" t="s">
        <v>636</v>
      </c>
    </row>
    <row r="526" spans="1:14" x14ac:dyDescent="0.2">
      <c r="A526" s="13" t="s">
        <v>82</v>
      </c>
      <c r="B526" s="13" t="s">
        <v>11</v>
      </c>
      <c r="C526" s="13" t="s">
        <v>422</v>
      </c>
      <c r="D526" s="13" t="s">
        <v>349</v>
      </c>
      <c r="E526" s="13"/>
      <c r="L526" s="5">
        <v>0</v>
      </c>
      <c r="M526" s="5">
        <v>0</v>
      </c>
      <c r="N526" s="9" t="s">
        <v>422</v>
      </c>
    </row>
    <row r="527" spans="1:14" x14ac:dyDescent="0.2">
      <c r="A527" s="12" t="s">
        <v>83</v>
      </c>
      <c r="B527" s="12" t="s">
        <v>11</v>
      </c>
      <c r="C527" s="12" t="s">
        <v>1077</v>
      </c>
      <c r="D527" s="12" t="s">
        <v>1078</v>
      </c>
      <c r="E527" s="13"/>
      <c r="F527" s="5" t="s">
        <v>1079</v>
      </c>
      <c r="G527" s="15">
        <v>1</v>
      </c>
      <c r="H527" s="5" t="s">
        <v>1080</v>
      </c>
      <c r="L527" s="5">
        <f>G527*SUMIFS($L:$L,$A:$A,"5 Veg Mince (freezer base)")</f>
        <v>360.78000000000009</v>
      </c>
      <c r="M527" s="5">
        <f>G527*SUMIFS($M:$M,$A:$A,"5 Veg Mince (freezer base)")</f>
        <v>251.11530000000002</v>
      </c>
      <c r="N527" s="9" t="s">
        <v>1081</v>
      </c>
    </row>
    <row r="528" spans="1:14" x14ac:dyDescent="0.2">
      <c r="A528" s="16" t="s">
        <v>83</v>
      </c>
      <c r="B528" s="16" t="s">
        <v>11</v>
      </c>
      <c r="C528" s="16" t="s">
        <v>1085</v>
      </c>
      <c r="D528" s="16" t="s">
        <v>298</v>
      </c>
      <c r="E528" s="17" t="s">
        <v>475</v>
      </c>
      <c r="F528" s="18" t="str">
        <f>INDEX('Woolworths Products'!$B$2:$B$208,MATCH($E528,'Woolworths Products'!$A$2:$A$208,0))</f>
        <v>Portabello Mushrooms 4 pk</v>
      </c>
      <c r="G528" s="19">
        <v>4</v>
      </c>
      <c r="H528" s="18" t="str">
        <f>INDEX('Woolworths Products'!$G$2:$G$208,MATCH($E528,'Woolworths Products'!$A$2:$A$208,0))</f>
        <v>ea</v>
      </c>
      <c r="I528" s="18">
        <f>INDEX('Woolworths Products'!$F$2:$F$208,MATCH($E528,'Woolworths Products'!$A$2:$A$208,0))</f>
        <v>4</v>
      </c>
      <c r="J528" s="18">
        <f>INDEX('Woolworths Products'!$E$2:$E$208,MATCH($E528,'Woolworths Products'!$A$2:$A$208,0))</f>
        <v>61.99</v>
      </c>
      <c r="K528" s="20">
        <f>IF(COUNTIFS($A$2:A528,A528,$E$2:E528,E528)=1,ROUNDUP(SUMIFS($G:$G,$A:$A,A528,$E:$E,E528)/I528,0),0)</f>
        <v>1</v>
      </c>
      <c r="L528" s="20">
        <f>K528*J528</f>
        <v>61.99</v>
      </c>
      <c r="M528" s="20">
        <f>G528/I528*J528</f>
        <v>61.99</v>
      </c>
      <c r="N528" s="21" t="s">
        <v>1086</v>
      </c>
    </row>
    <row r="529" spans="1:14" x14ac:dyDescent="0.2">
      <c r="A529" s="16" t="s">
        <v>83</v>
      </c>
      <c r="B529" s="16" t="s">
        <v>11</v>
      </c>
      <c r="C529" s="16" t="s">
        <v>635</v>
      </c>
      <c r="D529" s="16" t="s">
        <v>298</v>
      </c>
      <c r="E529" s="17" t="s">
        <v>509</v>
      </c>
      <c r="F529" s="18" t="str">
        <f>INDEX('Woolworths Products'!$B$2:$B$208,MATCH($E529,'Woolworths Products'!$A$2:$A$208,0))</f>
        <v>Grated Mature Cheddar Cheese 250 g</v>
      </c>
      <c r="G529" s="19">
        <v>80</v>
      </c>
      <c r="H529" s="18" t="str">
        <f>INDEX('Woolworths Products'!$G$2:$G$208,MATCH($E529,'Woolworths Products'!$A$2:$A$208,0))</f>
        <v>g</v>
      </c>
      <c r="I529" s="18">
        <f>INDEX('Woolworths Products'!$F$2:$F$208,MATCH($E529,'Woolworths Products'!$A$2:$A$208,0))</f>
        <v>250</v>
      </c>
      <c r="J529" s="18">
        <f>INDEX('Woolworths Products'!$E$2:$E$208,MATCH($E529,'Woolworths Products'!$A$2:$A$208,0))</f>
        <v>74.989999999999995</v>
      </c>
      <c r="K529" s="20">
        <f>IF(COUNTIFS($A$2:A529,A529,$E$2:E529,E529)=1,ROUNDUP(SUMIFS($G:$G,$A:$A,A529,$E:$E,E529)/I529,0),0)</f>
        <v>1</v>
      </c>
      <c r="L529" s="20">
        <f>K529*J529</f>
        <v>74.989999999999995</v>
      </c>
      <c r="M529" s="20">
        <f>G529/I529*J529</f>
        <v>23.9968</v>
      </c>
      <c r="N529" s="21" t="s">
        <v>636</v>
      </c>
    </row>
    <row r="530" spans="1:14" x14ac:dyDescent="0.2">
      <c r="A530" s="16" t="s">
        <v>83</v>
      </c>
      <c r="B530" s="16" t="s">
        <v>11</v>
      </c>
      <c r="C530" s="16" t="s">
        <v>1087</v>
      </c>
      <c r="D530" s="16" t="s">
        <v>298</v>
      </c>
      <c r="E530" s="17" t="s">
        <v>1088</v>
      </c>
      <c r="F530" s="18" t="str">
        <f>INDEX('Woolworths Products'!$B$2:$B$208,MATCH($E530,'Woolworths Products'!$A$2:$A$208,0))</f>
        <v>Truffle Flavoured Olive Oil 100 ml</v>
      </c>
      <c r="G530" s="19">
        <v>5</v>
      </c>
      <c r="H530" s="18" t="str">
        <f>INDEX('Woolworths Products'!$G$2:$G$208,MATCH($E530,'Woolworths Products'!$A$2:$A$208,0))</f>
        <v>ml</v>
      </c>
      <c r="I530" s="18">
        <f>INDEX('Woolworths Products'!$F$2:$F$208,MATCH($E530,'Woolworths Products'!$A$2:$A$208,0))</f>
        <v>100</v>
      </c>
      <c r="J530" s="18">
        <f>INDEX('Woolworths Products'!$E$2:$E$208,MATCH($E530,'Woolworths Products'!$A$2:$A$208,0))</f>
        <v>109.99</v>
      </c>
      <c r="K530" s="20">
        <f>IF(COUNTIFS($A$2:A530,A530,$E$2:E530,E530)=1,ROUNDUP(SUMIFS($G:$G,$A:$A,A530,$E:$E,E530)/I530,0),0)</f>
        <v>1</v>
      </c>
      <c r="L530" s="20">
        <f>K530*J530</f>
        <v>109.99</v>
      </c>
      <c r="M530" s="20">
        <f>G530/I530*J530</f>
        <v>5.4995000000000003</v>
      </c>
      <c r="N530" s="21" t="s">
        <v>416</v>
      </c>
    </row>
    <row r="531" spans="1:14" x14ac:dyDescent="0.2">
      <c r="A531" s="12" t="s">
        <v>84</v>
      </c>
      <c r="B531" s="12" t="s">
        <v>11</v>
      </c>
      <c r="C531" s="12" t="s">
        <v>1077</v>
      </c>
      <c r="D531" s="12" t="s">
        <v>1078</v>
      </c>
      <c r="E531" s="13"/>
      <c r="F531" s="5" t="s">
        <v>1079</v>
      </c>
      <c r="G531" s="15">
        <v>1</v>
      </c>
      <c r="H531" s="5" t="s">
        <v>1080</v>
      </c>
      <c r="L531" s="5">
        <f>G531*SUMIFS($L:$L,$A:$A,"5 Veg Mince (freezer base)")</f>
        <v>360.78000000000009</v>
      </c>
      <c r="M531" s="5">
        <f>G531*SUMIFS($M:$M,$A:$A,"5 Veg Mince (freezer base)")</f>
        <v>251.11530000000002</v>
      </c>
      <c r="N531" s="9" t="s">
        <v>1081</v>
      </c>
    </row>
    <row r="532" spans="1:14" x14ac:dyDescent="0.2">
      <c r="A532" s="12" t="s">
        <v>84</v>
      </c>
      <c r="B532" s="12" t="s">
        <v>11</v>
      </c>
      <c r="C532" s="12" t="s">
        <v>1089</v>
      </c>
      <c r="D532" s="12" t="s">
        <v>298</v>
      </c>
      <c r="E532" s="13" t="s">
        <v>891</v>
      </c>
      <c r="F532" s="14" t="str">
        <f>INDEX('Woolworths Products'!$B$2:$B$208,MATCH($E532,'Woolworths Products'!$A$2:$A$208,0))</f>
        <v>Mrs H.S.Ball's Original Recipe Chutney 470 g</v>
      </c>
      <c r="G532" s="15">
        <v>22</v>
      </c>
      <c r="H532" s="14" t="str">
        <f>INDEX('Woolworths Products'!$G$2:$G$208,MATCH($E532,'Woolworths Products'!$A$2:$A$208,0))</f>
        <v>g</v>
      </c>
      <c r="I532" s="14">
        <f>INDEX('Woolworths Products'!$F$2:$F$208,MATCH($E532,'Woolworths Products'!$A$2:$A$208,0))</f>
        <v>470</v>
      </c>
      <c r="J532" s="14">
        <f>INDEX('Woolworths Products'!$E$2:$E$208,MATCH($E532,'Woolworths Products'!$A$2:$A$208,0))</f>
        <v>45.99</v>
      </c>
      <c r="K532" s="5">
        <f>IF(COUNTIFS($A$2:A532,A532,$E$2:E532,E532)=1,ROUNDUP(SUMIFS($G:$G,$A:$A,A532,$E:$E,E532)/I532,0),0)</f>
        <v>1</v>
      </c>
      <c r="L532" s="5">
        <f>K532*J532</f>
        <v>45.99</v>
      </c>
      <c r="M532" s="5">
        <f>G532/I532*J532</f>
        <v>2.1527234042553189</v>
      </c>
      <c r="N532" s="9"/>
    </row>
    <row r="533" spans="1:14" x14ac:dyDescent="0.2">
      <c r="A533" s="12" t="s">
        <v>84</v>
      </c>
      <c r="B533" s="12" t="s">
        <v>11</v>
      </c>
      <c r="C533" s="12" t="s">
        <v>1090</v>
      </c>
      <c r="D533" s="12" t="s">
        <v>298</v>
      </c>
      <c r="E533" s="13" t="s">
        <v>948</v>
      </c>
      <c r="F533" s="14" t="str">
        <f>INDEX('Woolworths Products'!$B$2:$B$208,MATCH($E533,'Woolworths Products'!$A$2:$A$208,0))</f>
        <v>Whole Cauliflower Avg 500 g</v>
      </c>
      <c r="G533" s="15">
        <v>1</v>
      </c>
      <c r="H533" s="14" t="str">
        <f>INDEX('Woolworths Products'!$G$2:$G$208,MATCH($E533,'Woolworths Products'!$A$2:$A$208,0))</f>
        <v>ea</v>
      </c>
      <c r="I533" s="14">
        <f>INDEX('Woolworths Products'!$F$2:$F$208,MATCH($E533,'Woolworths Products'!$A$2:$A$208,0))</f>
        <v>1</v>
      </c>
      <c r="J533" s="14">
        <f>INDEX('Woolworths Products'!$E$2:$E$208,MATCH($E533,'Woolworths Products'!$A$2:$A$208,0))</f>
        <v>36</v>
      </c>
      <c r="K533" s="5">
        <f>IF(COUNTIFS($A$2:A533,A533,$E$2:E533,E533)=1,ROUNDUP(SUMIFS($G:$G,$A:$A,A533,$E:$E,E533)/I533,0),0)</f>
        <v>1</v>
      </c>
      <c r="L533" s="5">
        <f>K533*J533</f>
        <v>36</v>
      </c>
      <c r="M533" s="5">
        <f>G533/I533*J533</f>
        <v>36</v>
      </c>
      <c r="N533" s="9" t="s">
        <v>432</v>
      </c>
    </row>
    <row r="534" spans="1:14" x14ac:dyDescent="0.2">
      <c r="A534" s="12" t="s">
        <v>84</v>
      </c>
      <c r="B534" s="12" t="s">
        <v>11</v>
      </c>
      <c r="C534" s="12" t="s">
        <v>1091</v>
      </c>
      <c r="D534" s="12" t="s">
        <v>298</v>
      </c>
      <c r="E534" s="13" t="s">
        <v>388</v>
      </c>
      <c r="F534" s="14" t="str">
        <f>INDEX('Woolworths Products'!$B$2:$B$208,MATCH($E534,'Woolworths Products'!$A$2:$A$208,0))</f>
        <v>Long Life Full Cream Milk 1 L</v>
      </c>
      <c r="G534" s="15">
        <v>62.5</v>
      </c>
      <c r="H534" s="14" t="str">
        <f>INDEX('Woolworths Products'!$G$2:$G$208,MATCH($E534,'Woolworths Products'!$A$2:$A$208,0))</f>
        <v>ml</v>
      </c>
      <c r="I534" s="14">
        <f>INDEX('Woolworths Products'!$F$2:$F$208,MATCH($E534,'Woolworths Products'!$A$2:$A$208,0))</f>
        <v>1000</v>
      </c>
      <c r="J534" s="14">
        <f>INDEX('Woolworths Products'!$E$2:$E$208,MATCH($E534,'Woolworths Products'!$A$2:$A$208,0))</f>
        <v>22.99</v>
      </c>
      <c r="K534" s="5">
        <f>IF(COUNTIFS($A$2:A534,A534,$E$2:E534,E534)=1,ROUNDUP(SUMIFS($G:$G,$A:$A,A534,$E:$E,E534)/I534,0),0)</f>
        <v>1</v>
      </c>
      <c r="L534" s="5">
        <f>K534*J534</f>
        <v>22.99</v>
      </c>
      <c r="M534" s="5">
        <f>G534/I534*J534</f>
        <v>1.4368749999999999</v>
      </c>
      <c r="N534" s="9"/>
    </row>
    <row r="535" spans="1:14" x14ac:dyDescent="0.2">
      <c r="A535" s="13" t="s">
        <v>84</v>
      </c>
      <c r="B535" s="13" t="s">
        <v>11</v>
      </c>
      <c r="C535" s="13" t="s">
        <v>590</v>
      </c>
      <c r="D535" s="13" t="s">
        <v>349</v>
      </c>
      <c r="E535" s="13"/>
      <c r="L535" s="5">
        <v>0</v>
      </c>
      <c r="M535" s="5">
        <v>0</v>
      </c>
      <c r="N535" s="9" t="s">
        <v>348</v>
      </c>
    </row>
    <row r="536" spans="1:14" x14ac:dyDescent="0.2">
      <c r="A536" s="16" t="s">
        <v>84</v>
      </c>
      <c r="B536" s="16" t="s">
        <v>11</v>
      </c>
      <c r="C536" s="16" t="s">
        <v>635</v>
      </c>
      <c r="D536" s="16" t="s">
        <v>298</v>
      </c>
      <c r="E536" s="17" t="s">
        <v>509</v>
      </c>
      <c r="F536" s="18" t="str">
        <f>INDEX('Woolworths Products'!$B$2:$B$208,MATCH($E536,'Woolworths Products'!$A$2:$A$208,0))</f>
        <v>Grated Mature Cheddar Cheese 250 g</v>
      </c>
      <c r="G536" s="19">
        <v>80</v>
      </c>
      <c r="H536" s="18" t="str">
        <f>INDEX('Woolworths Products'!$G$2:$G$208,MATCH($E536,'Woolworths Products'!$A$2:$A$208,0))</f>
        <v>g</v>
      </c>
      <c r="I536" s="18">
        <f>INDEX('Woolworths Products'!$F$2:$F$208,MATCH($E536,'Woolworths Products'!$A$2:$A$208,0))</f>
        <v>250</v>
      </c>
      <c r="J536" s="18">
        <f>INDEX('Woolworths Products'!$E$2:$E$208,MATCH($E536,'Woolworths Products'!$A$2:$A$208,0))</f>
        <v>74.989999999999995</v>
      </c>
      <c r="K536" s="20">
        <f>IF(COUNTIFS($A$2:A536,A536,$E$2:E536,E536)=1,ROUNDUP(SUMIFS($G:$G,$A:$A,A536,$E:$E,E536)/I536,0),0)</f>
        <v>1</v>
      </c>
      <c r="L536" s="20">
        <f t="shared" ref="L536:L552" si="54">K536*J536</f>
        <v>74.989999999999995</v>
      </c>
      <c r="M536" s="20">
        <f t="shared" ref="M536:M552" si="55">G536/I536*J536</f>
        <v>23.9968</v>
      </c>
      <c r="N536" s="21" t="s">
        <v>636</v>
      </c>
    </row>
    <row r="537" spans="1:14" x14ac:dyDescent="0.2">
      <c r="A537" s="12" t="s">
        <v>85</v>
      </c>
      <c r="B537" s="12" t="s">
        <v>11</v>
      </c>
      <c r="C537" s="12" t="s">
        <v>1092</v>
      </c>
      <c r="D537" s="12" t="s">
        <v>298</v>
      </c>
      <c r="E537" s="13" t="s">
        <v>1093</v>
      </c>
      <c r="F537" s="14" t="str">
        <f>INDEX('Woolworths Products'!$B$2:$B$208,MATCH($E537,'Woolworths Products'!$A$2:$A$208,0))</f>
        <v>Brinjals 1 kg</v>
      </c>
      <c r="G537" s="15">
        <v>1500</v>
      </c>
      <c r="H537" s="14" t="str">
        <f>INDEX('Woolworths Products'!$G$2:$G$208,MATCH($E537,'Woolworths Products'!$A$2:$A$208,0))</f>
        <v>g</v>
      </c>
      <c r="I537" s="14">
        <f>INDEX('Woolworths Products'!$F$2:$F$208,MATCH($E537,'Woolworths Products'!$A$2:$A$208,0))</f>
        <v>1000</v>
      </c>
      <c r="J537" s="14">
        <f>INDEX('Woolworths Products'!$E$2:$E$208,MATCH($E537,'Woolworths Products'!$A$2:$A$208,0))</f>
        <v>51.99</v>
      </c>
      <c r="K537" s="5">
        <f>IF(COUNTIFS($A$2:A537,A537,$E$2:E537,E537)=1,ROUNDUP(SUMIFS($G:$G,$A:$A,A537,$E:$E,E537)/I537,0),0)</f>
        <v>2</v>
      </c>
      <c r="L537" s="5">
        <f t="shared" si="54"/>
        <v>103.98</v>
      </c>
      <c r="M537" s="5">
        <f t="shared" si="55"/>
        <v>77.984999999999999</v>
      </c>
      <c r="N537" s="9" t="s">
        <v>1094</v>
      </c>
    </row>
    <row r="538" spans="1:14" x14ac:dyDescent="0.2">
      <c r="A538" s="16" t="s">
        <v>85</v>
      </c>
      <c r="B538" s="16" t="s">
        <v>11</v>
      </c>
      <c r="C538" s="16" t="s">
        <v>648</v>
      </c>
      <c r="D538" s="16" t="s">
        <v>298</v>
      </c>
      <c r="E538" s="17" t="s">
        <v>330</v>
      </c>
      <c r="F538" s="18" t="str">
        <f>INDEX('Woolworths Products'!$B$2:$B$208,MATCH($E538,'Woolworths Products'!$A$2:$A$208,0))</f>
        <v>Prince Albert Extra Virgin Olive Oil 250 ml</v>
      </c>
      <c r="G538" s="19">
        <v>30</v>
      </c>
      <c r="H538" s="18" t="str">
        <f>INDEX('Woolworths Products'!$G$2:$G$208,MATCH($E538,'Woolworths Products'!$A$2:$A$208,0))</f>
        <v>ml</v>
      </c>
      <c r="I538" s="18">
        <f>INDEX('Woolworths Products'!$F$2:$F$208,MATCH($E538,'Woolworths Products'!$A$2:$A$208,0))</f>
        <v>250</v>
      </c>
      <c r="J538" s="18">
        <f>INDEX('Woolworths Products'!$E$2:$E$208,MATCH($E538,'Woolworths Products'!$A$2:$A$208,0))</f>
        <v>109.99</v>
      </c>
      <c r="K538" s="20">
        <f>IF(COUNTIFS($A$2:A538,A538,$E$2:E538,E538)=1,ROUNDUP(SUMIFS($G:$G,$A:$A,A538,$E:$E,E538)/I538,0),0)</f>
        <v>1</v>
      </c>
      <c r="L538" s="20">
        <f t="shared" si="54"/>
        <v>109.99</v>
      </c>
      <c r="M538" s="20">
        <f t="shared" si="55"/>
        <v>13.198799999999999</v>
      </c>
      <c r="N538" s="21" t="s">
        <v>623</v>
      </c>
    </row>
    <row r="539" spans="1:14" x14ac:dyDescent="0.2">
      <c r="A539" s="12" t="s">
        <v>85</v>
      </c>
      <c r="B539" s="12" t="s">
        <v>11</v>
      </c>
      <c r="C539" s="12" t="s">
        <v>1095</v>
      </c>
      <c r="D539" s="12" t="s">
        <v>298</v>
      </c>
      <c r="E539" s="13" t="s">
        <v>365</v>
      </c>
      <c r="F539" s="14" t="str">
        <f>INDEX('Woolworths Products'!$B$2:$B$208,MATCH($E539,'Woolworths Products'!$A$2:$A$208,0))</f>
        <v>Salted Butter 250 g</v>
      </c>
      <c r="G539" s="15">
        <v>21</v>
      </c>
      <c r="H539" s="14" t="str">
        <f>INDEX('Woolworths Products'!$G$2:$G$208,MATCH($E539,'Woolworths Products'!$A$2:$A$208,0))</f>
        <v>g</v>
      </c>
      <c r="I539" s="14">
        <f>INDEX('Woolworths Products'!$F$2:$F$208,MATCH($E539,'Woolworths Products'!$A$2:$A$208,0))</f>
        <v>250</v>
      </c>
      <c r="J539" s="14">
        <f>INDEX('Woolworths Products'!$E$2:$E$208,MATCH($E539,'Woolworths Products'!$A$2:$A$208,0))</f>
        <v>68.989999999999995</v>
      </c>
      <c r="K539" s="5">
        <f>IF(COUNTIFS($A$2:A539,A539,$E$2:E539,E539)=1,ROUNDUP(SUMIFS($G:$G,$A:$A,A539,$E:$E,E539)/I539,0),0)</f>
        <v>1</v>
      </c>
      <c r="L539" s="5">
        <f t="shared" si="54"/>
        <v>68.989999999999995</v>
      </c>
      <c r="M539" s="5">
        <f t="shared" si="55"/>
        <v>5.7951600000000001</v>
      </c>
      <c r="N539" s="9"/>
    </row>
    <row r="540" spans="1:14" x14ac:dyDescent="0.2">
      <c r="A540" s="12" t="s">
        <v>85</v>
      </c>
      <c r="B540" s="12" t="s">
        <v>11</v>
      </c>
      <c r="C540" s="12" t="s">
        <v>1096</v>
      </c>
      <c r="D540" s="12" t="s">
        <v>298</v>
      </c>
      <c r="E540" s="13" t="s">
        <v>353</v>
      </c>
      <c r="F540" s="14" t="str">
        <f>INDEX('Woolworths Products'!$B$2:$B$208,MATCH($E540,'Woolworths Products'!$A$2:$A$208,0))</f>
        <v>Cake Wheat Flour 1 kg</v>
      </c>
      <c r="G540" s="15">
        <v>30</v>
      </c>
      <c r="H540" s="14" t="str">
        <f>INDEX('Woolworths Products'!$G$2:$G$208,MATCH($E540,'Woolworths Products'!$A$2:$A$208,0))</f>
        <v>g</v>
      </c>
      <c r="I540" s="14">
        <f>INDEX('Woolworths Products'!$F$2:$F$208,MATCH($E540,'Woolworths Products'!$A$2:$A$208,0))</f>
        <v>1000</v>
      </c>
      <c r="J540" s="14">
        <f>INDEX('Woolworths Products'!$E$2:$E$208,MATCH($E540,'Woolworths Products'!$A$2:$A$208,0))</f>
        <v>21.99</v>
      </c>
      <c r="K540" s="5">
        <f>IF(COUNTIFS($A$2:A540,A540,$E$2:E540,E540)=1,ROUNDUP(SUMIFS($G:$G,$A:$A,A540,$E:$E,E540)/I540,0),0)</f>
        <v>1</v>
      </c>
      <c r="L540" s="5">
        <f t="shared" si="54"/>
        <v>21.99</v>
      </c>
      <c r="M540" s="5">
        <f t="shared" si="55"/>
        <v>0.65969999999999995</v>
      </c>
      <c r="N540" s="9"/>
    </row>
    <row r="541" spans="1:14" x14ac:dyDescent="0.2">
      <c r="A541" s="12" t="s">
        <v>85</v>
      </c>
      <c r="B541" s="12" t="s">
        <v>11</v>
      </c>
      <c r="C541" s="12" t="s">
        <v>1097</v>
      </c>
      <c r="D541" s="12" t="s">
        <v>298</v>
      </c>
      <c r="E541" s="13" t="s">
        <v>388</v>
      </c>
      <c r="F541" s="14" t="str">
        <f>INDEX('Woolworths Products'!$B$2:$B$208,MATCH($E541,'Woolworths Products'!$A$2:$A$208,0))</f>
        <v>Long Life Full Cream Milk 1 L</v>
      </c>
      <c r="G541" s="15">
        <v>250</v>
      </c>
      <c r="H541" s="14" t="str">
        <f>INDEX('Woolworths Products'!$G$2:$G$208,MATCH($E541,'Woolworths Products'!$A$2:$A$208,0))</f>
        <v>ml</v>
      </c>
      <c r="I541" s="14">
        <f>INDEX('Woolworths Products'!$F$2:$F$208,MATCH($E541,'Woolworths Products'!$A$2:$A$208,0))</f>
        <v>1000</v>
      </c>
      <c r="J541" s="14">
        <f>INDEX('Woolworths Products'!$E$2:$E$208,MATCH($E541,'Woolworths Products'!$A$2:$A$208,0))</f>
        <v>22.99</v>
      </c>
      <c r="K541" s="5">
        <f>IF(COUNTIFS($A$2:A541,A541,$E$2:E541,E541)=1,ROUNDUP(SUMIFS($G:$G,$A:$A,A541,$E:$E,E541)/I541,0),0)</f>
        <v>1</v>
      </c>
      <c r="L541" s="5">
        <f t="shared" si="54"/>
        <v>22.99</v>
      </c>
      <c r="M541" s="5">
        <f t="shared" si="55"/>
        <v>5.7474999999999996</v>
      </c>
      <c r="N541" s="9"/>
    </row>
    <row r="542" spans="1:14" x14ac:dyDescent="0.2">
      <c r="A542" s="12" t="s">
        <v>85</v>
      </c>
      <c r="B542" s="12" t="s">
        <v>11</v>
      </c>
      <c r="C542" s="12" t="s">
        <v>1098</v>
      </c>
      <c r="D542" s="12" t="s">
        <v>298</v>
      </c>
      <c r="E542" s="13" t="s">
        <v>595</v>
      </c>
      <c r="F542" s="14" t="str">
        <f>INDEX('Woolworths Products'!$B$2:$B$208,MATCH($E542,'Woolworths Products'!$A$2:$A$208,0))</f>
        <v>Colman's Traditional Hot English Mustard 168 g</v>
      </c>
      <c r="G542" s="15">
        <v>4</v>
      </c>
      <c r="H542" s="14" t="str">
        <f>INDEX('Woolworths Products'!$G$2:$G$208,MATCH($E542,'Woolworths Products'!$A$2:$A$208,0))</f>
        <v>g</v>
      </c>
      <c r="I542" s="14">
        <f>INDEX('Woolworths Products'!$F$2:$F$208,MATCH($E542,'Woolworths Products'!$A$2:$A$208,0))</f>
        <v>168</v>
      </c>
      <c r="J542" s="14">
        <f>INDEX('Woolworths Products'!$E$2:$E$208,MATCH($E542,'Woolworths Products'!$A$2:$A$208,0))</f>
        <v>54.99</v>
      </c>
      <c r="K542" s="5">
        <f>IF(COUNTIFS($A$2:A542,A542,$E$2:E542,E542)=1,ROUNDUP(SUMIFS($G:$G,$A:$A,A542,$E:$E,E542)/I542,0),0)</f>
        <v>1</v>
      </c>
      <c r="L542" s="5">
        <f t="shared" si="54"/>
        <v>54.99</v>
      </c>
      <c r="M542" s="5">
        <f t="shared" si="55"/>
        <v>1.3092857142857142</v>
      </c>
      <c r="N542" s="9" t="s">
        <v>1099</v>
      </c>
    </row>
    <row r="543" spans="1:14" x14ac:dyDescent="0.2">
      <c r="A543" s="12" t="s">
        <v>85</v>
      </c>
      <c r="B543" s="12" t="s">
        <v>11</v>
      </c>
      <c r="C543" s="12" t="s">
        <v>1100</v>
      </c>
      <c r="D543" s="12" t="s">
        <v>298</v>
      </c>
      <c r="E543" s="13" t="s">
        <v>1101</v>
      </c>
      <c r="F543" s="14" t="str">
        <f>INDEX('Woolworths Products'!$B$2:$B$208,MATCH($E543,'Woolworths Products'!$A$2:$A$208,0))</f>
        <v>Passata Rustica Crushed Tomato with Basil 340 ml</v>
      </c>
      <c r="G543" s="15">
        <v>2</v>
      </c>
      <c r="H543" s="14" t="str">
        <f>INDEX('Woolworths Products'!$G$2:$G$208,MATCH($E543,'Woolworths Products'!$A$2:$A$208,0))</f>
        <v>ea</v>
      </c>
      <c r="I543" s="14">
        <f>INDEX('Woolworths Products'!$F$2:$F$208,MATCH($E543,'Woolworths Products'!$A$2:$A$208,0))</f>
        <v>1</v>
      </c>
      <c r="J543" s="14">
        <f>INDEX('Woolworths Products'!$E$2:$E$208,MATCH($E543,'Woolworths Products'!$A$2:$A$208,0))</f>
        <v>39.99</v>
      </c>
      <c r="K543" s="5">
        <f>IF(COUNTIFS($A$2:A543,A543,$E$2:E543,E543)=1,ROUNDUP(SUMIFS($G:$G,$A:$A,A543,$E:$E,E543)/I543,0),0)</f>
        <v>2</v>
      </c>
      <c r="L543" s="5">
        <f t="shared" si="54"/>
        <v>79.98</v>
      </c>
      <c r="M543" s="5">
        <f t="shared" si="55"/>
        <v>79.98</v>
      </c>
      <c r="N543" s="9"/>
    </row>
    <row r="544" spans="1:14" x14ac:dyDescent="0.2">
      <c r="A544" s="16" t="s">
        <v>85</v>
      </c>
      <c r="B544" s="16" t="s">
        <v>11</v>
      </c>
      <c r="C544" s="16" t="s">
        <v>1102</v>
      </c>
      <c r="D544" s="16" t="s">
        <v>298</v>
      </c>
      <c r="E544" s="17" t="s">
        <v>1103</v>
      </c>
      <c r="F544" s="18" t="str">
        <f>INDEX('Woolworths Products'!$B$2:$B$208,MATCH($E544,'Woolworths Products'!$A$2:$A$208,0))</f>
        <v>White Mature Cheddar Cheese 240 g</v>
      </c>
      <c r="G544" s="19">
        <v>100</v>
      </c>
      <c r="H544" s="18" t="str">
        <f>INDEX('Woolworths Products'!$G$2:$G$208,MATCH($E544,'Woolworths Products'!$A$2:$A$208,0))</f>
        <v>g</v>
      </c>
      <c r="I544" s="18">
        <f>INDEX('Woolworths Products'!$F$2:$F$208,MATCH($E544,'Woolworths Products'!$A$2:$A$208,0))</f>
        <v>240</v>
      </c>
      <c r="J544" s="18">
        <f>INDEX('Woolworths Products'!$E$2:$E$208,MATCH($E544,'Woolworths Products'!$A$2:$A$208,0))</f>
        <v>74.989999999999995</v>
      </c>
      <c r="K544" s="20">
        <f>IF(COUNTIFS($A$2:A544,A544,$E$2:E544,E544)=1,ROUNDUP(SUMIFS($G:$G,$A:$A,A544,$E:$E,E544)/I544,0),0)</f>
        <v>1</v>
      </c>
      <c r="L544" s="20">
        <f t="shared" si="54"/>
        <v>74.989999999999995</v>
      </c>
      <c r="M544" s="20">
        <f t="shared" si="55"/>
        <v>31.245833333333334</v>
      </c>
      <c r="N544" s="21" t="s">
        <v>962</v>
      </c>
    </row>
    <row r="545" spans="1:14" x14ac:dyDescent="0.2">
      <c r="A545" s="12" t="s">
        <v>85</v>
      </c>
      <c r="B545" s="12" t="s">
        <v>11</v>
      </c>
      <c r="C545" s="12" t="s">
        <v>494</v>
      </c>
      <c r="D545" s="12" t="s">
        <v>298</v>
      </c>
      <c r="E545" s="13" t="s">
        <v>495</v>
      </c>
      <c r="F545" s="14" t="str">
        <f>INDEX('Woolworths Products'!$B$2:$B$208,MATCH($E545,'Woolworths Products'!$A$2:$A$208,0))</f>
        <v>Fresh Thyme 20 g</v>
      </c>
      <c r="G545" s="15">
        <v>0.25</v>
      </c>
      <c r="H545" s="14" t="str">
        <f>INDEX('Woolworths Products'!$G$2:$G$208,MATCH($E545,'Woolworths Products'!$A$2:$A$208,0))</f>
        <v>punnet</v>
      </c>
      <c r="I545" s="14">
        <f>INDEX('Woolworths Products'!$F$2:$F$208,MATCH($E545,'Woolworths Products'!$A$2:$A$208,0))</f>
        <v>1</v>
      </c>
      <c r="J545" s="14">
        <f>INDEX('Woolworths Products'!$E$2:$E$208,MATCH($E545,'Woolworths Products'!$A$2:$A$208,0))</f>
        <v>15.99</v>
      </c>
      <c r="K545" s="5">
        <f>IF(COUNTIFS($A$2:A545,A545,$E$2:E545,E545)=1,ROUNDUP(SUMIFS($G:$G,$A:$A,A545,$E:$E,E545)/I545,0),0)</f>
        <v>1</v>
      </c>
      <c r="L545" s="5">
        <f t="shared" si="54"/>
        <v>15.99</v>
      </c>
      <c r="M545" s="5">
        <f t="shared" si="55"/>
        <v>3.9975000000000001</v>
      </c>
      <c r="N545" s="9"/>
    </row>
    <row r="546" spans="1:14" x14ac:dyDescent="0.2">
      <c r="A546" s="12" t="s">
        <v>86</v>
      </c>
      <c r="B546" s="12" t="s">
        <v>17</v>
      </c>
      <c r="C546" s="12" t="s">
        <v>1104</v>
      </c>
      <c r="D546" s="12" t="s">
        <v>298</v>
      </c>
      <c r="E546" s="13" t="s">
        <v>365</v>
      </c>
      <c r="F546" s="14" t="str">
        <f>INDEX('Woolworths Products'!$B$2:$B$208,MATCH($E546,'Woolworths Products'!$A$2:$A$208,0))</f>
        <v>Salted Butter 250 g</v>
      </c>
      <c r="G546" s="15">
        <v>115</v>
      </c>
      <c r="H546" s="14" t="str">
        <f>INDEX('Woolworths Products'!$G$2:$G$208,MATCH($E546,'Woolworths Products'!$A$2:$A$208,0))</f>
        <v>g</v>
      </c>
      <c r="I546" s="14">
        <f>INDEX('Woolworths Products'!$F$2:$F$208,MATCH($E546,'Woolworths Products'!$A$2:$A$208,0))</f>
        <v>250</v>
      </c>
      <c r="J546" s="14">
        <f>INDEX('Woolworths Products'!$E$2:$E$208,MATCH($E546,'Woolworths Products'!$A$2:$A$208,0))</f>
        <v>68.989999999999995</v>
      </c>
      <c r="K546" s="5">
        <f>IF(COUNTIFS($A$2:A546,A546,$E$2:E546,E546)=1,ROUNDUP(SUMIFS($G:$G,$A:$A,A546,$E:$E,E546)/I546,0),0)</f>
        <v>1</v>
      </c>
      <c r="L546" s="5">
        <f t="shared" si="54"/>
        <v>68.989999999999995</v>
      </c>
      <c r="M546" s="5">
        <f t="shared" si="55"/>
        <v>31.735399999999998</v>
      </c>
      <c r="N546" s="9"/>
    </row>
    <row r="547" spans="1:14" x14ac:dyDescent="0.2">
      <c r="A547" s="12" t="s">
        <v>86</v>
      </c>
      <c r="B547" s="12" t="s">
        <v>17</v>
      </c>
      <c r="C547" s="12" t="s">
        <v>1105</v>
      </c>
      <c r="D547" s="12" t="s">
        <v>298</v>
      </c>
      <c r="E547" s="13" t="s">
        <v>721</v>
      </c>
      <c r="F547" s="14" t="str">
        <f>INDEX('Woolworths Products'!$B$2:$B$208,MATCH($E547,'Woolworths Products'!$A$2:$A$208,0))</f>
        <v>Light Brown Sugar 1 kg</v>
      </c>
      <c r="G547" s="15">
        <v>100</v>
      </c>
      <c r="H547" s="14" t="str">
        <f>INDEX('Woolworths Products'!$G$2:$G$208,MATCH($E547,'Woolworths Products'!$A$2:$A$208,0))</f>
        <v>g</v>
      </c>
      <c r="I547" s="14">
        <f>INDEX('Woolworths Products'!$F$2:$F$208,MATCH($E547,'Woolworths Products'!$A$2:$A$208,0))</f>
        <v>1000</v>
      </c>
      <c r="J547" s="14">
        <f>INDEX('Woolworths Products'!$E$2:$E$208,MATCH($E547,'Woolworths Products'!$A$2:$A$208,0))</f>
        <v>35.99</v>
      </c>
      <c r="K547" s="5">
        <f>IF(COUNTIFS($A$2:A547,A547,$E$2:E547,E547)=1,ROUNDUP(SUMIFS($G:$G,$A:$A,A547,$E:$E,E547)/I547,0),0)</f>
        <v>1</v>
      </c>
      <c r="L547" s="5">
        <f t="shared" si="54"/>
        <v>35.99</v>
      </c>
      <c r="M547" s="5">
        <f t="shared" si="55"/>
        <v>3.5990000000000002</v>
      </c>
      <c r="N547" s="9"/>
    </row>
    <row r="548" spans="1:14" x14ac:dyDescent="0.2">
      <c r="A548" s="12" t="s">
        <v>86</v>
      </c>
      <c r="B548" s="12" t="s">
        <v>17</v>
      </c>
      <c r="C548" s="12" t="s">
        <v>1106</v>
      </c>
      <c r="D548" s="12" t="s">
        <v>298</v>
      </c>
      <c r="E548" s="13" t="s">
        <v>311</v>
      </c>
      <c r="F548" s="14" t="str">
        <f>INDEX('Woolworths Products'!$B$2:$B$208,MATCH($E548,'Woolworths Products'!$A$2:$A$208,0))</f>
        <v>Free Range Mixed Sizes Chilled Eggs 6 pk</v>
      </c>
      <c r="G548" s="15">
        <v>1</v>
      </c>
      <c r="H548" s="14" t="str">
        <f>INDEX('Woolworths Products'!$G$2:$G$208,MATCH($E548,'Woolworths Products'!$A$2:$A$208,0))</f>
        <v>ea</v>
      </c>
      <c r="I548" s="14">
        <f>INDEX('Woolworths Products'!$F$2:$F$208,MATCH($E548,'Woolworths Products'!$A$2:$A$208,0))</f>
        <v>6</v>
      </c>
      <c r="J548" s="14">
        <f>INDEX('Woolworths Products'!$E$2:$E$208,MATCH($E548,'Woolworths Products'!$A$2:$A$208,0))</f>
        <v>29.99</v>
      </c>
      <c r="K548" s="5">
        <f>IF(COUNTIFS($A$2:A548,A548,$E$2:E548,E548)=1,ROUNDUP(SUMIFS($G:$G,$A:$A,A548,$E:$E,E548)/I548,0),0)</f>
        <v>1</v>
      </c>
      <c r="L548" s="5">
        <f t="shared" si="54"/>
        <v>29.99</v>
      </c>
      <c r="M548" s="5">
        <f t="shared" si="55"/>
        <v>4.9983333333333331</v>
      </c>
      <c r="N548" s="9"/>
    </row>
    <row r="549" spans="1:14" x14ac:dyDescent="0.2">
      <c r="A549" s="12" t="s">
        <v>86</v>
      </c>
      <c r="B549" s="12" t="s">
        <v>17</v>
      </c>
      <c r="C549" s="12" t="s">
        <v>1107</v>
      </c>
      <c r="D549" s="12" t="s">
        <v>298</v>
      </c>
      <c r="E549" s="13" t="s">
        <v>584</v>
      </c>
      <c r="F549" s="14" t="str">
        <f>INDEX('Woolworths Products'!$B$2:$B$208,MATCH($E549,'Woolworths Products'!$A$2:$A$208,0))</f>
        <v>No Added Salt and Sugar Peanut Butter 400 g</v>
      </c>
      <c r="G549" s="15">
        <v>250</v>
      </c>
      <c r="H549" s="14" t="str">
        <f>INDEX('Woolworths Products'!$G$2:$G$208,MATCH($E549,'Woolworths Products'!$A$2:$A$208,0))</f>
        <v>g</v>
      </c>
      <c r="I549" s="14">
        <f>INDEX('Woolworths Products'!$F$2:$F$208,MATCH($E549,'Woolworths Products'!$A$2:$A$208,0))</f>
        <v>400</v>
      </c>
      <c r="J549" s="14">
        <f>INDEX('Woolworths Products'!$E$2:$E$208,MATCH($E549,'Woolworths Products'!$A$2:$A$208,0))</f>
        <v>52.99</v>
      </c>
      <c r="K549" s="5">
        <f>IF(COUNTIFS($A$2:A549,A549,$E$2:E549,E549)=1,ROUNDUP(SUMIFS($G:$G,$A:$A,A549,$E:$E,E549)/I549,0),0)</f>
        <v>1</v>
      </c>
      <c r="L549" s="5">
        <f t="shared" si="54"/>
        <v>52.99</v>
      </c>
      <c r="M549" s="5">
        <f t="shared" si="55"/>
        <v>33.118749999999999</v>
      </c>
      <c r="N549" s="9"/>
    </row>
    <row r="550" spans="1:14" x14ac:dyDescent="0.2">
      <c r="A550" s="12" t="s">
        <v>86</v>
      </c>
      <c r="B550" s="12" t="s">
        <v>17</v>
      </c>
      <c r="C550" s="12" t="s">
        <v>1108</v>
      </c>
      <c r="D550" s="12" t="s">
        <v>298</v>
      </c>
      <c r="E550" s="13" t="s">
        <v>363</v>
      </c>
      <c r="F550" s="14" t="str">
        <f>INDEX('Woolworths Products'!$B$2:$B$208,MATCH($E550,'Woolworths Products'!$A$2:$A$208,0))</f>
        <v>Vanilla Essence 50 ml</v>
      </c>
      <c r="G550" s="15">
        <v>2.5</v>
      </c>
      <c r="H550" s="14" t="str">
        <f>INDEX('Woolworths Products'!$G$2:$G$208,MATCH($E550,'Woolworths Products'!$A$2:$A$208,0))</f>
        <v>ml</v>
      </c>
      <c r="I550" s="14">
        <f>INDEX('Woolworths Products'!$F$2:$F$208,MATCH($E550,'Woolworths Products'!$A$2:$A$208,0))</f>
        <v>50</v>
      </c>
      <c r="J550" s="14">
        <f>INDEX('Woolworths Products'!$E$2:$E$208,MATCH($E550,'Woolworths Products'!$A$2:$A$208,0))</f>
        <v>29.99</v>
      </c>
      <c r="K550" s="5">
        <f>IF(COUNTIFS($A$2:A550,A550,$E$2:E550,E550)=1,ROUNDUP(SUMIFS($G:$G,$A:$A,A550,$E:$E,E550)/I550,0),0)</f>
        <v>1</v>
      </c>
      <c r="L550" s="5">
        <f t="shared" si="54"/>
        <v>29.99</v>
      </c>
      <c r="M550" s="5">
        <f t="shared" si="55"/>
        <v>1.4995000000000001</v>
      </c>
      <c r="N550" s="9" t="s">
        <v>1109</v>
      </c>
    </row>
    <row r="551" spans="1:14" x14ac:dyDescent="0.2">
      <c r="A551" s="12" t="s">
        <v>86</v>
      </c>
      <c r="B551" s="12" t="s">
        <v>17</v>
      </c>
      <c r="C551" s="12" t="s">
        <v>1110</v>
      </c>
      <c r="D551" s="12" t="s">
        <v>298</v>
      </c>
      <c r="E551" s="13" t="s">
        <v>353</v>
      </c>
      <c r="F551" s="14" t="str">
        <f>INDEX('Woolworths Products'!$B$2:$B$208,MATCH($E551,'Woolworths Products'!$A$2:$A$208,0))</f>
        <v>Cake Wheat Flour 1 kg</v>
      </c>
      <c r="G551" s="15">
        <v>190</v>
      </c>
      <c r="H551" s="14" t="str">
        <f>INDEX('Woolworths Products'!$G$2:$G$208,MATCH($E551,'Woolworths Products'!$A$2:$A$208,0))</f>
        <v>g</v>
      </c>
      <c r="I551" s="14">
        <f>INDEX('Woolworths Products'!$F$2:$F$208,MATCH($E551,'Woolworths Products'!$A$2:$A$208,0))</f>
        <v>1000</v>
      </c>
      <c r="J551" s="14">
        <f>INDEX('Woolworths Products'!$E$2:$E$208,MATCH($E551,'Woolworths Products'!$A$2:$A$208,0))</f>
        <v>21.99</v>
      </c>
      <c r="K551" s="5">
        <f>IF(COUNTIFS($A$2:A551,A551,$E$2:E551,E551)=1,ROUNDUP(SUMIFS($G:$G,$A:$A,A551,$E:$E,E551)/I551,0),0)</f>
        <v>1</v>
      </c>
      <c r="L551" s="5">
        <f t="shared" si="54"/>
        <v>21.99</v>
      </c>
      <c r="M551" s="5">
        <f t="shared" si="55"/>
        <v>4.1780999999999997</v>
      </c>
      <c r="N551" s="9"/>
    </row>
    <row r="552" spans="1:14" x14ac:dyDescent="0.2">
      <c r="A552" s="12" t="s">
        <v>86</v>
      </c>
      <c r="B552" s="12" t="s">
        <v>17</v>
      </c>
      <c r="C552" s="12" t="s">
        <v>1111</v>
      </c>
      <c r="D552" s="12" t="s">
        <v>298</v>
      </c>
      <c r="E552" s="13" t="s">
        <v>359</v>
      </c>
      <c r="F552" s="14" t="str">
        <f>INDEX('Woolworths Products'!$B$2:$B$208,MATCH($E552,'Woolworths Products'!$A$2:$A$208,0))</f>
        <v>Baking Powder 100 g</v>
      </c>
      <c r="G552" s="15">
        <v>2</v>
      </c>
      <c r="H552" s="14" t="str">
        <f>INDEX('Woolworths Products'!$G$2:$G$208,MATCH($E552,'Woolworths Products'!$A$2:$A$208,0))</f>
        <v>g</v>
      </c>
      <c r="I552" s="14">
        <f>INDEX('Woolworths Products'!$F$2:$F$208,MATCH($E552,'Woolworths Products'!$A$2:$A$208,0))</f>
        <v>100</v>
      </c>
      <c r="J552" s="14">
        <f>INDEX('Woolworths Products'!$E$2:$E$208,MATCH($E552,'Woolworths Products'!$A$2:$A$208,0))</f>
        <v>34.99</v>
      </c>
      <c r="K552" s="5">
        <f>IF(COUNTIFS($A$2:A552,A552,$E$2:E552,E552)=1,ROUNDUP(SUMIFS($G:$G,$A:$A,A552,$E:$E,E552)/I552,0),0)</f>
        <v>1</v>
      </c>
      <c r="L552" s="5">
        <f t="shared" si="54"/>
        <v>34.99</v>
      </c>
      <c r="M552" s="5">
        <f t="shared" si="55"/>
        <v>0.69980000000000009</v>
      </c>
      <c r="N552" s="9"/>
    </row>
    <row r="553" spans="1:14" x14ac:dyDescent="0.2">
      <c r="A553" s="13" t="s">
        <v>86</v>
      </c>
      <c r="B553" s="13" t="s">
        <v>17</v>
      </c>
      <c r="C553" s="13" t="s">
        <v>487</v>
      </c>
      <c r="D553" s="13" t="s">
        <v>349</v>
      </c>
      <c r="E553" s="13"/>
      <c r="L553" s="5">
        <v>0</v>
      </c>
      <c r="M553" s="5">
        <v>0</v>
      </c>
      <c r="N553" s="9" t="s">
        <v>348</v>
      </c>
    </row>
    <row r="554" spans="1:14" x14ac:dyDescent="0.2">
      <c r="A554" s="12" t="s">
        <v>87</v>
      </c>
      <c r="B554" s="12" t="s">
        <v>63</v>
      </c>
      <c r="C554" s="12" t="s">
        <v>1112</v>
      </c>
      <c r="D554" s="12" t="s">
        <v>298</v>
      </c>
      <c r="E554" s="13" t="s">
        <v>1113</v>
      </c>
      <c r="F554" s="14" t="str">
        <f>INDEX('Woolworths Products'!$B$2:$B$208,MATCH($E554,'Woolworths Products'!$A$2:$A$208,0))</f>
        <v>Whipping Cream 500 ml</v>
      </c>
      <c r="G554" s="15">
        <v>500</v>
      </c>
      <c r="H554" s="14" t="str">
        <f>INDEX('Woolworths Products'!$G$2:$G$208,MATCH($E554,'Woolworths Products'!$A$2:$A$208,0))</f>
        <v>ml</v>
      </c>
      <c r="I554" s="14">
        <f>INDEX('Woolworths Products'!$F$2:$F$208,MATCH($E554,'Woolworths Products'!$A$2:$A$208,0))</f>
        <v>500</v>
      </c>
      <c r="J554" s="14">
        <f>INDEX('Woolworths Products'!$E$2:$E$208,MATCH($E554,'Woolworths Products'!$A$2:$A$208,0))</f>
        <v>59.99</v>
      </c>
      <c r="K554" s="5">
        <f>IF(COUNTIFS($A$2:A554,A554,$E$2:E554,E554)=1,ROUNDUP(SUMIFS($G:$G,$A:$A,A554,$E:$E,E554)/I554,0),0)</f>
        <v>1</v>
      </c>
      <c r="L554" s="5">
        <f>K554*J554</f>
        <v>59.99</v>
      </c>
      <c r="M554" s="5">
        <f>G554/I554*J554</f>
        <v>59.99</v>
      </c>
      <c r="N554" s="9"/>
    </row>
    <row r="555" spans="1:14" x14ac:dyDescent="0.2">
      <c r="A555" s="12" t="s">
        <v>87</v>
      </c>
      <c r="B555" s="12" t="s">
        <v>63</v>
      </c>
      <c r="C555" s="12" t="s">
        <v>1114</v>
      </c>
      <c r="D555" s="12" t="s">
        <v>298</v>
      </c>
      <c r="E555" s="13" t="s">
        <v>357</v>
      </c>
      <c r="F555" s="14" t="str">
        <f>INDEX('Woolworths Products'!$B$2:$B$208,MATCH($E555,'Woolworths Products'!$A$2:$A$208,0))</f>
        <v>White Sugar 1 kg</v>
      </c>
      <c r="G555" s="15">
        <v>100</v>
      </c>
      <c r="H555" s="14" t="str">
        <f>INDEX('Woolworths Products'!$G$2:$G$208,MATCH($E555,'Woolworths Products'!$A$2:$A$208,0))</f>
        <v>g</v>
      </c>
      <c r="I555" s="14">
        <f>INDEX('Woolworths Products'!$F$2:$F$208,MATCH($E555,'Woolworths Products'!$A$2:$A$208,0))</f>
        <v>1000</v>
      </c>
      <c r="J555" s="14">
        <f>INDEX('Woolworths Products'!$E$2:$E$208,MATCH($E555,'Woolworths Products'!$A$2:$A$208,0))</f>
        <v>33.99</v>
      </c>
      <c r="K555" s="5">
        <f>IF(COUNTIFS($A$2:A555,A555,$E$2:E555,E555)=1,ROUNDUP(SUMIFS($G:$G,$A:$A,A555,$E:$E,E555)/I555,0),0)</f>
        <v>1</v>
      </c>
      <c r="L555" s="5">
        <f>K555*J555</f>
        <v>33.99</v>
      </c>
      <c r="M555" s="5">
        <f>G555/I555*J555</f>
        <v>3.3990000000000005</v>
      </c>
      <c r="N555" s="9"/>
    </row>
    <row r="556" spans="1:14" x14ac:dyDescent="0.2">
      <c r="A556" s="12" t="s">
        <v>87</v>
      </c>
      <c r="B556" s="12" t="s">
        <v>63</v>
      </c>
      <c r="C556" s="12" t="s">
        <v>797</v>
      </c>
      <c r="D556" s="12" t="s">
        <v>298</v>
      </c>
      <c r="E556" s="13" t="s">
        <v>388</v>
      </c>
      <c r="F556" s="14" t="str">
        <f>INDEX('Woolworths Products'!$B$2:$B$208,MATCH($E556,'Woolworths Products'!$A$2:$A$208,0))</f>
        <v>Long Life Full Cream Milk 1 L</v>
      </c>
      <c r="G556" s="15">
        <v>250</v>
      </c>
      <c r="H556" s="14" t="str">
        <f>INDEX('Woolworths Products'!$G$2:$G$208,MATCH($E556,'Woolworths Products'!$A$2:$A$208,0))</f>
        <v>ml</v>
      </c>
      <c r="I556" s="14">
        <f>INDEX('Woolworths Products'!$F$2:$F$208,MATCH($E556,'Woolworths Products'!$A$2:$A$208,0))</f>
        <v>1000</v>
      </c>
      <c r="J556" s="14">
        <f>INDEX('Woolworths Products'!$E$2:$E$208,MATCH($E556,'Woolworths Products'!$A$2:$A$208,0))</f>
        <v>22.99</v>
      </c>
      <c r="K556" s="5">
        <f>IF(COUNTIFS($A$2:A556,A556,$E$2:E556,E556)=1,ROUNDUP(SUMIFS($G:$G,$A:$A,A556,$E:$E,E556)/I556,0),0)</f>
        <v>1</v>
      </c>
      <c r="L556" s="5">
        <f>K556*J556</f>
        <v>22.99</v>
      </c>
      <c r="M556" s="5">
        <f>G556/I556*J556</f>
        <v>5.7474999999999996</v>
      </c>
      <c r="N556" s="9"/>
    </row>
    <row r="557" spans="1:14" x14ac:dyDescent="0.2">
      <c r="A557" s="12" t="s">
        <v>87</v>
      </c>
      <c r="B557" s="12" t="s">
        <v>63</v>
      </c>
      <c r="C557" s="12" t="s">
        <v>1115</v>
      </c>
      <c r="D557" s="12" t="s">
        <v>298</v>
      </c>
      <c r="E557" s="13" t="s">
        <v>363</v>
      </c>
      <c r="F557" s="14" t="str">
        <f>INDEX('Woolworths Products'!$B$2:$B$208,MATCH($E557,'Woolworths Products'!$A$2:$A$208,0))</f>
        <v>Vanilla Essence 50 ml</v>
      </c>
      <c r="G557" s="15">
        <v>10</v>
      </c>
      <c r="H557" s="14" t="str">
        <f>INDEX('Woolworths Products'!$G$2:$G$208,MATCH($E557,'Woolworths Products'!$A$2:$A$208,0))</f>
        <v>ml</v>
      </c>
      <c r="I557" s="14">
        <f>INDEX('Woolworths Products'!$F$2:$F$208,MATCH($E557,'Woolworths Products'!$A$2:$A$208,0))</f>
        <v>50</v>
      </c>
      <c r="J557" s="14">
        <f>INDEX('Woolworths Products'!$E$2:$E$208,MATCH($E557,'Woolworths Products'!$A$2:$A$208,0))</f>
        <v>29.99</v>
      </c>
      <c r="K557" s="5">
        <f>IF(COUNTIFS($A$2:A557,A557,$E$2:E557,E557)=1,ROUNDUP(SUMIFS($G:$G,$A:$A,A557,$E:$E,E557)/I557,0),0)</f>
        <v>1</v>
      </c>
      <c r="L557" s="5">
        <f>K557*J557</f>
        <v>29.99</v>
      </c>
      <c r="M557" s="5">
        <f>G557/I557*J557</f>
        <v>5.9980000000000002</v>
      </c>
      <c r="N557" s="9" t="s">
        <v>1109</v>
      </c>
    </row>
    <row r="558" spans="1:14" x14ac:dyDescent="0.2">
      <c r="A558" s="13" t="s">
        <v>87</v>
      </c>
      <c r="B558" s="13" t="s">
        <v>63</v>
      </c>
      <c r="C558" s="13" t="s">
        <v>361</v>
      </c>
      <c r="D558" s="13" t="s">
        <v>349</v>
      </c>
      <c r="E558" s="13"/>
      <c r="L558" s="5">
        <v>0</v>
      </c>
      <c r="M558" s="5">
        <v>0</v>
      </c>
      <c r="N558" s="9" t="s">
        <v>348</v>
      </c>
    </row>
    <row r="559" spans="1:14" x14ac:dyDescent="0.2">
      <c r="A559" s="16" t="s">
        <v>87</v>
      </c>
      <c r="B559" s="16" t="s">
        <v>63</v>
      </c>
      <c r="C559" s="16" t="s">
        <v>1116</v>
      </c>
      <c r="D559" s="16" t="s">
        <v>298</v>
      </c>
      <c r="E559" s="17" t="s">
        <v>1117</v>
      </c>
      <c r="F559" s="18" t="str">
        <f>INDEX('Woolworths Products'!$B$2:$B$208,MATCH($E559,'Woolworths Products'!$A$2:$A$208,0))</f>
        <v>Lotus Biscoff Biscuits 6 x 2 pk</v>
      </c>
      <c r="G559" s="19">
        <v>12</v>
      </c>
      <c r="H559" s="18" t="str">
        <f>INDEX('Woolworths Products'!$G$2:$G$208,MATCH($E559,'Woolworths Products'!$A$2:$A$208,0))</f>
        <v>ea</v>
      </c>
      <c r="I559" s="18">
        <f>INDEX('Woolworths Products'!$F$2:$F$208,MATCH($E559,'Woolworths Products'!$A$2:$A$208,0))</f>
        <v>12</v>
      </c>
      <c r="J559" s="18">
        <f>INDEX('Woolworths Products'!$E$2:$E$208,MATCH($E559,'Woolworths Products'!$A$2:$A$208,0))</f>
        <v>32.99</v>
      </c>
      <c r="K559" s="20">
        <f>IF(COUNTIFS($A$2:A559,A559,$E$2:E559,E559)=1,ROUNDUP(SUMIFS($G:$G,$A:$A,A559,$E:$E,E559)/I559,0),0)</f>
        <v>1</v>
      </c>
      <c r="L559" s="20">
        <f>K559*J559</f>
        <v>32.99</v>
      </c>
      <c r="M559" s="20">
        <f>G559/I559*J559</f>
        <v>32.99</v>
      </c>
      <c r="N559" s="21" t="s">
        <v>1118</v>
      </c>
    </row>
    <row r="561" spans="1:13" x14ac:dyDescent="0.2">
      <c r="K561" s="6" t="s">
        <v>1119</v>
      </c>
      <c r="L561" s="6">
        <f>SUM(L2:L559)</f>
        <v>25329.730000000178</v>
      </c>
      <c r="M561" s="6">
        <f>SUM(M2:M559)</f>
        <v>11671.591097813545</v>
      </c>
    </row>
    <row r="562" spans="1:13" x14ac:dyDescent="0.2">
      <c r="A562" s="8" t="s">
        <v>1120</v>
      </c>
    </row>
  </sheetData>
  <autoFilter ref="A1:N55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52" customWidth="1"/>
    <col min="3" max="5" width="13" customWidth="1"/>
    <col min="6" max="6" width="10" customWidth="1"/>
    <col min="7" max="7" width="9" customWidth="1"/>
    <col min="8" max="8" width="13" customWidth="1"/>
    <col min="9" max="9" width="11" customWidth="1"/>
    <col min="10" max="10" width="50" customWidth="1"/>
    <col min="11" max="11" width="14" customWidth="1"/>
  </cols>
  <sheetData>
    <row r="1" spans="1:11" ht="30" customHeight="1" x14ac:dyDescent="0.2">
      <c r="A1" s="1" t="s">
        <v>1121</v>
      </c>
      <c r="B1" s="1" t="s">
        <v>288</v>
      </c>
      <c r="C1" s="1" t="s">
        <v>1122</v>
      </c>
      <c r="D1" s="1" t="s">
        <v>1123</v>
      </c>
      <c r="E1" s="1" t="s">
        <v>1124</v>
      </c>
      <c r="F1" s="1" t="s">
        <v>291</v>
      </c>
      <c r="G1" s="1" t="s">
        <v>290</v>
      </c>
      <c r="H1" s="1" t="s">
        <v>1125</v>
      </c>
      <c r="I1" s="1" t="s">
        <v>1126</v>
      </c>
      <c r="J1" s="1" t="s">
        <v>1127</v>
      </c>
      <c r="K1" s="1" t="s">
        <v>1128</v>
      </c>
    </row>
    <row r="2" spans="1:11" x14ac:dyDescent="0.2">
      <c r="A2" s="8" t="s">
        <v>925</v>
      </c>
      <c r="B2" s="5" t="s">
        <v>1129</v>
      </c>
      <c r="C2" s="15">
        <v>119.99</v>
      </c>
      <c r="D2" s="15">
        <v>119.99</v>
      </c>
      <c r="E2" s="5">
        <f>IF('Notes &amp; Assumptions'!$C$4="Regular",D2,C2)</f>
        <v>119.99</v>
      </c>
      <c r="F2" s="15">
        <v>200</v>
      </c>
      <c r="G2" s="5" t="s">
        <v>1130</v>
      </c>
      <c r="H2" s="5">
        <f t="shared" ref="H2:H65" si="0">E2/F2</f>
        <v>0.59994999999999998</v>
      </c>
      <c r="I2" s="5" t="str">
        <f t="shared" ref="I2:I65" si="1">IF(C2&lt;D2,"Yes","")</f>
        <v/>
      </c>
      <c r="J2" s="5"/>
      <c r="K2" s="7" t="s">
        <v>1131</v>
      </c>
    </row>
    <row r="3" spans="1:11" x14ac:dyDescent="0.2">
      <c r="A3" s="8" t="s">
        <v>380</v>
      </c>
      <c r="B3" s="5" t="s">
        <v>1132</v>
      </c>
      <c r="C3" s="15">
        <v>37.99</v>
      </c>
      <c r="D3" s="15">
        <v>37.99</v>
      </c>
      <c r="E3" s="5">
        <f>IF('Notes &amp; Assumptions'!$C$4="Regular",D3,C3)</f>
        <v>37.99</v>
      </c>
      <c r="F3" s="15">
        <v>500</v>
      </c>
      <c r="G3" s="5" t="s">
        <v>1133</v>
      </c>
      <c r="H3" s="5">
        <f t="shared" si="0"/>
        <v>7.5980000000000006E-2</v>
      </c>
      <c r="I3" s="5" t="str">
        <f t="shared" si="1"/>
        <v/>
      </c>
      <c r="J3" s="5"/>
      <c r="K3" s="7" t="s">
        <v>1131</v>
      </c>
    </row>
    <row r="4" spans="1:11" x14ac:dyDescent="0.2">
      <c r="A4" s="8" t="s">
        <v>1064</v>
      </c>
      <c r="B4" s="5" t="s">
        <v>1134</v>
      </c>
      <c r="C4" s="15">
        <v>59.99</v>
      </c>
      <c r="D4" s="15">
        <v>59.99</v>
      </c>
      <c r="E4" s="5">
        <f>IF('Notes &amp; Assumptions'!$C$4="Regular",D4,C4)</f>
        <v>59.99</v>
      </c>
      <c r="F4" s="15">
        <v>1</v>
      </c>
      <c r="G4" s="5" t="s">
        <v>1135</v>
      </c>
      <c r="H4" s="5">
        <f t="shared" si="0"/>
        <v>59.99</v>
      </c>
      <c r="I4" s="5" t="str">
        <f t="shared" si="1"/>
        <v/>
      </c>
      <c r="J4" s="5" t="s">
        <v>1065</v>
      </c>
      <c r="K4" s="7" t="s">
        <v>1131</v>
      </c>
    </row>
    <row r="5" spans="1:11" x14ac:dyDescent="0.2">
      <c r="A5" s="8" t="s">
        <v>428</v>
      </c>
      <c r="B5" s="5" t="s">
        <v>1136</v>
      </c>
      <c r="C5" s="15">
        <v>51.99</v>
      </c>
      <c r="D5" s="15">
        <v>51.99</v>
      </c>
      <c r="E5" s="5">
        <f>IF('Notes &amp; Assumptions'!$C$4="Regular",D5,C5)</f>
        <v>51.99</v>
      </c>
      <c r="F5" s="15">
        <v>150</v>
      </c>
      <c r="G5" s="5" t="s">
        <v>1133</v>
      </c>
      <c r="H5" s="5">
        <f t="shared" si="0"/>
        <v>0.34660000000000002</v>
      </c>
      <c r="I5" s="5" t="str">
        <f t="shared" si="1"/>
        <v/>
      </c>
      <c r="J5" s="5"/>
      <c r="K5" s="7" t="s">
        <v>1131</v>
      </c>
    </row>
    <row r="6" spans="1:11" x14ac:dyDescent="0.2">
      <c r="A6" s="8" t="s">
        <v>434</v>
      </c>
      <c r="B6" s="5" t="s">
        <v>1137</v>
      </c>
      <c r="C6" s="15">
        <v>59.99</v>
      </c>
      <c r="D6" s="15">
        <v>59.99</v>
      </c>
      <c r="E6" s="5">
        <f>IF('Notes &amp; Assumptions'!$C$4="Regular",D6,C6)</f>
        <v>59.99</v>
      </c>
      <c r="F6" s="15">
        <v>6</v>
      </c>
      <c r="G6" s="5" t="s">
        <v>1138</v>
      </c>
      <c r="H6" s="5">
        <f t="shared" si="0"/>
        <v>9.9983333333333331</v>
      </c>
      <c r="I6" s="5" t="str">
        <f t="shared" si="1"/>
        <v/>
      </c>
      <c r="J6" s="5" t="s">
        <v>435</v>
      </c>
      <c r="K6" s="7" t="s">
        <v>1131</v>
      </c>
    </row>
    <row r="7" spans="1:11" x14ac:dyDescent="0.2">
      <c r="A7" s="8" t="s">
        <v>454</v>
      </c>
      <c r="B7" s="5" t="s">
        <v>1139</v>
      </c>
      <c r="C7" s="15">
        <v>82.99</v>
      </c>
      <c r="D7" s="15">
        <v>82.99</v>
      </c>
      <c r="E7" s="5">
        <f>IF('Notes &amp; Assumptions'!$C$4="Regular",D7,C7)</f>
        <v>82.99</v>
      </c>
      <c r="F7" s="15">
        <v>200</v>
      </c>
      <c r="G7" s="5" t="s">
        <v>1133</v>
      </c>
      <c r="H7" s="5">
        <f t="shared" si="0"/>
        <v>0.41494999999999999</v>
      </c>
      <c r="I7" s="5" t="str">
        <f t="shared" si="1"/>
        <v/>
      </c>
      <c r="J7" s="5"/>
      <c r="K7" s="7" t="s">
        <v>1131</v>
      </c>
    </row>
    <row r="8" spans="1:11" x14ac:dyDescent="0.2">
      <c r="A8" s="8" t="s">
        <v>545</v>
      </c>
      <c r="B8" s="5" t="s">
        <v>1140</v>
      </c>
      <c r="C8" s="15">
        <v>64.989999999999995</v>
      </c>
      <c r="D8" s="15">
        <v>64.989999999999995</v>
      </c>
      <c r="E8" s="5">
        <f>IF('Notes &amp; Assumptions'!$C$4="Regular",D8,C8)</f>
        <v>64.989999999999995</v>
      </c>
      <c r="F8" s="15">
        <v>120</v>
      </c>
      <c r="G8" s="5" t="s">
        <v>1130</v>
      </c>
      <c r="H8" s="5">
        <f t="shared" si="0"/>
        <v>0.54158333333333331</v>
      </c>
      <c r="I8" s="5" t="str">
        <f t="shared" si="1"/>
        <v/>
      </c>
      <c r="J8" s="5"/>
      <c r="K8" s="7" t="s">
        <v>1131</v>
      </c>
    </row>
    <row r="9" spans="1:11" x14ac:dyDescent="0.2">
      <c r="A9" s="8" t="s">
        <v>807</v>
      </c>
      <c r="B9" s="5" t="s">
        <v>1141</v>
      </c>
      <c r="C9" s="15">
        <v>86.99</v>
      </c>
      <c r="D9" s="15">
        <v>86.99</v>
      </c>
      <c r="E9" s="5">
        <f>IF('Notes &amp; Assumptions'!$C$4="Regular",D9,C9)</f>
        <v>86.99</v>
      </c>
      <c r="F9" s="15">
        <v>250</v>
      </c>
      <c r="G9" s="5" t="s">
        <v>1133</v>
      </c>
      <c r="H9" s="5">
        <f t="shared" si="0"/>
        <v>0.34795999999999999</v>
      </c>
      <c r="I9" s="5" t="str">
        <f t="shared" si="1"/>
        <v/>
      </c>
      <c r="J9" s="5"/>
      <c r="K9" s="7" t="s">
        <v>1131</v>
      </c>
    </row>
    <row r="10" spans="1:11" x14ac:dyDescent="0.2">
      <c r="A10" s="8" t="s">
        <v>725</v>
      </c>
      <c r="B10" s="5" t="s">
        <v>1142</v>
      </c>
      <c r="C10" s="15">
        <v>18.989999999999998</v>
      </c>
      <c r="D10" s="15">
        <v>18.989999999999998</v>
      </c>
      <c r="E10" s="5">
        <f>IF('Notes &amp; Assumptions'!$C$4="Regular",D10,C10)</f>
        <v>18.989999999999998</v>
      </c>
      <c r="F10" s="15">
        <v>500</v>
      </c>
      <c r="G10" s="5" t="s">
        <v>1133</v>
      </c>
      <c r="H10" s="5">
        <f t="shared" si="0"/>
        <v>3.798E-2</v>
      </c>
      <c r="I10" s="5" t="str">
        <f t="shared" si="1"/>
        <v/>
      </c>
      <c r="J10" s="5"/>
      <c r="K10" s="7" t="s">
        <v>1131</v>
      </c>
    </row>
    <row r="11" spans="1:11" x14ac:dyDescent="0.2">
      <c r="A11" s="8" t="s">
        <v>418</v>
      </c>
      <c r="B11" s="5" t="s">
        <v>1143</v>
      </c>
      <c r="C11" s="15">
        <v>39.99</v>
      </c>
      <c r="D11" s="15">
        <v>39.99</v>
      </c>
      <c r="E11" s="5">
        <f>IF('Notes &amp; Assumptions'!$C$4="Regular",D11,C11)</f>
        <v>39.99</v>
      </c>
      <c r="F11" s="15">
        <v>500</v>
      </c>
      <c r="G11" s="5" t="s">
        <v>1130</v>
      </c>
      <c r="H11" s="5">
        <f t="shared" si="0"/>
        <v>7.9980000000000009E-2</v>
      </c>
      <c r="I11" s="5" t="str">
        <f t="shared" si="1"/>
        <v/>
      </c>
      <c r="J11" s="5"/>
      <c r="K11" s="7" t="s">
        <v>1131</v>
      </c>
    </row>
    <row r="12" spans="1:11" x14ac:dyDescent="0.2">
      <c r="A12" s="8" t="s">
        <v>301</v>
      </c>
      <c r="B12" s="5" t="s">
        <v>1144</v>
      </c>
      <c r="C12" s="15">
        <v>32.99</v>
      </c>
      <c r="D12" s="15">
        <v>32.99</v>
      </c>
      <c r="E12" s="5">
        <f>IF('Notes &amp; Assumptions'!$C$4="Regular",D12,C12)</f>
        <v>32.99</v>
      </c>
      <c r="F12" s="15">
        <v>350</v>
      </c>
      <c r="G12" s="5" t="s">
        <v>1130</v>
      </c>
      <c r="H12" s="5">
        <f t="shared" si="0"/>
        <v>9.4257142857142859E-2</v>
      </c>
      <c r="I12" s="5" t="str">
        <f t="shared" si="1"/>
        <v/>
      </c>
      <c r="J12" s="5"/>
      <c r="K12" s="7" t="s">
        <v>1131</v>
      </c>
    </row>
    <row r="13" spans="1:11" x14ac:dyDescent="0.2">
      <c r="A13" s="8" t="s">
        <v>441</v>
      </c>
      <c r="B13" s="5" t="s">
        <v>1145</v>
      </c>
      <c r="C13" s="15">
        <v>35.99</v>
      </c>
      <c r="D13" s="15">
        <v>35.99</v>
      </c>
      <c r="E13" s="5">
        <f>IF('Notes &amp; Assumptions'!$C$4="Regular",D13,C13)</f>
        <v>35.99</v>
      </c>
      <c r="F13" s="15">
        <v>200</v>
      </c>
      <c r="G13" s="5" t="s">
        <v>1130</v>
      </c>
      <c r="H13" s="5">
        <f t="shared" si="0"/>
        <v>0.17995</v>
      </c>
      <c r="I13" s="5" t="str">
        <f t="shared" si="1"/>
        <v/>
      </c>
      <c r="J13" s="5"/>
      <c r="K13" s="7" t="s">
        <v>1131</v>
      </c>
    </row>
    <row r="14" spans="1:11" x14ac:dyDescent="0.2">
      <c r="A14" s="8" t="s">
        <v>578</v>
      </c>
      <c r="B14" s="5" t="s">
        <v>1146</v>
      </c>
      <c r="C14" s="15">
        <v>32.99</v>
      </c>
      <c r="D14" s="15">
        <v>32.99</v>
      </c>
      <c r="E14" s="5">
        <f>IF('Notes &amp; Assumptions'!$C$4="Regular",D14,C14)</f>
        <v>32.99</v>
      </c>
      <c r="F14" s="15">
        <v>24</v>
      </c>
      <c r="G14" s="5" t="s">
        <v>1135</v>
      </c>
      <c r="H14" s="5">
        <f t="shared" si="0"/>
        <v>1.3745833333333335</v>
      </c>
      <c r="I14" s="5" t="str">
        <f t="shared" si="1"/>
        <v/>
      </c>
      <c r="J14" s="5" t="s">
        <v>579</v>
      </c>
      <c r="K14" s="7" t="s">
        <v>1131</v>
      </c>
    </row>
    <row r="15" spans="1:11" x14ac:dyDescent="0.2">
      <c r="A15" s="8" t="s">
        <v>359</v>
      </c>
      <c r="B15" s="5" t="s">
        <v>1147</v>
      </c>
      <c r="C15" s="15">
        <v>34.99</v>
      </c>
      <c r="D15" s="15">
        <v>34.99</v>
      </c>
      <c r="E15" s="5">
        <f>IF('Notes &amp; Assumptions'!$C$4="Regular",D15,C15)</f>
        <v>34.99</v>
      </c>
      <c r="F15" s="15">
        <v>100</v>
      </c>
      <c r="G15" s="5" t="s">
        <v>1130</v>
      </c>
      <c r="H15" s="5">
        <f t="shared" si="0"/>
        <v>0.34990000000000004</v>
      </c>
      <c r="I15" s="5" t="str">
        <f t="shared" si="1"/>
        <v/>
      </c>
      <c r="J15" s="5"/>
      <c r="K15" s="7" t="s">
        <v>1131</v>
      </c>
    </row>
    <row r="16" spans="1:11" x14ac:dyDescent="0.2">
      <c r="A16" s="8" t="s">
        <v>749</v>
      </c>
      <c r="B16" s="5" t="s">
        <v>1148</v>
      </c>
      <c r="C16" s="15">
        <v>69.989999999999995</v>
      </c>
      <c r="D16" s="15">
        <v>69.989999999999995</v>
      </c>
      <c r="E16" s="5">
        <f>IF('Notes &amp; Assumptions'!$C$4="Regular",D16,C16)</f>
        <v>69.989999999999995</v>
      </c>
      <c r="F16" s="15">
        <v>140</v>
      </c>
      <c r="G16" s="5" t="s">
        <v>1130</v>
      </c>
      <c r="H16" s="5">
        <f t="shared" si="0"/>
        <v>0.49992857142857139</v>
      </c>
      <c r="I16" s="5" t="str">
        <f t="shared" si="1"/>
        <v/>
      </c>
      <c r="J16" s="5"/>
      <c r="K16" s="7" t="s">
        <v>1131</v>
      </c>
    </row>
    <row r="17" spans="1:11" x14ac:dyDescent="0.2">
      <c r="A17" s="8" t="s">
        <v>553</v>
      </c>
      <c r="B17" s="5" t="s">
        <v>1149</v>
      </c>
      <c r="C17" s="15">
        <v>107.99</v>
      </c>
      <c r="D17" s="15">
        <v>107.99</v>
      </c>
      <c r="E17" s="5">
        <f>IF('Notes &amp; Assumptions'!$C$4="Regular",D17,C17)</f>
        <v>107.99</v>
      </c>
      <c r="F17" s="15">
        <v>600</v>
      </c>
      <c r="G17" s="5" t="s">
        <v>1130</v>
      </c>
      <c r="H17" s="5">
        <f t="shared" si="0"/>
        <v>0.17998333333333333</v>
      </c>
      <c r="I17" s="5" t="str">
        <f t="shared" si="1"/>
        <v/>
      </c>
      <c r="J17" s="5" t="s">
        <v>554</v>
      </c>
      <c r="K17" s="7" t="s">
        <v>1131</v>
      </c>
    </row>
    <row r="18" spans="1:11" x14ac:dyDescent="0.2">
      <c r="A18" s="8" t="s">
        <v>679</v>
      </c>
      <c r="B18" s="5" t="s">
        <v>1150</v>
      </c>
      <c r="C18" s="15">
        <v>60.99</v>
      </c>
      <c r="D18" s="15">
        <v>60.99</v>
      </c>
      <c r="E18" s="5">
        <f>IF('Notes &amp; Assumptions'!$C$4="Regular",D18,C18)</f>
        <v>60.99</v>
      </c>
      <c r="F18" s="15">
        <v>150</v>
      </c>
      <c r="G18" s="5" t="s">
        <v>1130</v>
      </c>
      <c r="H18" s="5">
        <f t="shared" si="0"/>
        <v>0.40660000000000002</v>
      </c>
      <c r="I18" s="5" t="str">
        <f t="shared" si="1"/>
        <v/>
      </c>
      <c r="J18" s="5" t="s">
        <v>1151</v>
      </c>
      <c r="K18" s="7" t="s">
        <v>1131</v>
      </c>
    </row>
    <row r="19" spans="1:11" x14ac:dyDescent="0.2">
      <c r="A19" s="8" t="s">
        <v>855</v>
      </c>
      <c r="B19" s="5" t="s">
        <v>1152</v>
      </c>
      <c r="C19" s="15">
        <v>26.99</v>
      </c>
      <c r="D19" s="15">
        <v>26.99</v>
      </c>
      <c r="E19" s="5">
        <f>IF('Notes &amp; Assumptions'!$C$4="Regular",D19,C19)</f>
        <v>26.99</v>
      </c>
      <c r="F19" s="15">
        <v>500</v>
      </c>
      <c r="G19" s="5" t="s">
        <v>1130</v>
      </c>
      <c r="H19" s="5">
        <f t="shared" si="0"/>
        <v>5.398E-2</v>
      </c>
      <c r="I19" s="5" t="str">
        <f t="shared" si="1"/>
        <v/>
      </c>
      <c r="J19" s="5"/>
      <c r="K19" s="7" t="s">
        <v>1131</v>
      </c>
    </row>
    <row r="20" spans="1:11" x14ac:dyDescent="0.2">
      <c r="A20" s="8" t="s">
        <v>1052</v>
      </c>
      <c r="B20" s="5" t="s">
        <v>1153</v>
      </c>
      <c r="C20" s="15">
        <v>33.99</v>
      </c>
      <c r="D20" s="15">
        <v>33.99</v>
      </c>
      <c r="E20" s="5">
        <f>IF('Notes &amp; Assumptions'!$C$4="Regular",D20,C20)</f>
        <v>33.99</v>
      </c>
      <c r="F20" s="15">
        <v>200</v>
      </c>
      <c r="G20" s="5" t="s">
        <v>1130</v>
      </c>
      <c r="H20" s="5">
        <f t="shared" si="0"/>
        <v>0.16995000000000002</v>
      </c>
      <c r="I20" s="5" t="str">
        <f t="shared" si="1"/>
        <v/>
      </c>
      <c r="J20" s="5"/>
      <c r="K20" s="7" t="s">
        <v>1131</v>
      </c>
    </row>
    <row r="21" spans="1:11" x14ac:dyDescent="0.2">
      <c r="A21" s="8" t="s">
        <v>524</v>
      </c>
      <c r="B21" s="5" t="s">
        <v>1154</v>
      </c>
      <c r="C21" s="15">
        <v>42.99</v>
      </c>
      <c r="D21" s="15">
        <v>42.99</v>
      </c>
      <c r="E21" s="5">
        <f>IF('Notes &amp; Assumptions'!$C$4="Regular",D21,C21)</f>
        <v>42.99</v>
      </c>
      <c r="F21" s="15">
        <v>125</v>
      </c>
      <c r="G21" s="5" t="s">
        <v>1130</v>
      </c>
      <c r="H21" s="5">
        <f t="shared" si="0"/>
        <v>0.34392</v>
      </c>
      <c r="I21" s="5" t="str">
        <f t="shared" si="1"/>
        <v/>
      </c>
      <c r="J21" s="5"/>
      <c r="K21" s="7" t="s">
        <v>1131</v>
      </c>
    </row>
    <row r="22" spans="1:11" x14ac:dyDescent="0.2">
      <c r="A22" s="8" t="s">
        <v>715</v>
      </c>
      <c r="B22" s="5" t="s">
        <v>1155</v>
      </c>
      <c r="C22" s="15">
        <v>59.99</v>
      </c>
      <c r="D22" s="15">
        <v>59.99</v>
      </c>
      <c r="E22" s="5">
        <f>IF('Notes &amp; Assumptions'!$C$4="Regular",D22,C22)</f>
        <v>59.99</v>
      </c>
      <c r="F22" s="15">
        <v>250</v>
      </c>
      <c r="G22" s="5" t="s">
        <v>1130</v>
      </c>
      <c r="H22" s="5">
        <f t="shared" si="0"/>
        <v>0.23996000000000001</v>
      </c>
      <c r="I22" s="5" t="str">
        <f t="shared" si="1"/>
        <v/>
      </c>
      <c r="J22" s="5"/>
      <c r="K22" s="7" t="s">
        <v>1131</v>
      </c>
    </row>
    <row r="23" spans="1:11" x14ac:dyDescent="0.2">
      <c r="A23" s="8" t="s">
        <v>1093</v>
      </c>
      <c r="B23" s="5" t="s">
        <v>1156</v>
      </c>
      <c r="C23" s="15">
        <v>51.99</v>
      </c>
      <c r="D23" s="15">
        <v>51.99</v>
      </c>
      <c r="E23" s="5">
        <f>IF('Notes &amp; Assumptions'!$C$4="Regular",D23,C23)</f>
        <v>51.99</v>
      </c>
      <c r="F23" s="15">
        <v>1000</v>
      </c>
      <c r="G23" s="5" t="s">
        <v>1130</v>
      </c>
      <c r="H23" s="5">
        <f t="shared" si="0"/>
        <v>5.1990000000000001E-2</v>
      </c>
      <c r="I23" s="5" t="str">
        <f t="shared" si="1"/>
        <v/>
      </c>
      <c r="J23" s="5"/>
      <c r="K23" s="7" t="s">
        <v>1131</v>
      </c>
    </row>
    <row r="24" spans="1:11" x14ac:dyDescent="0.2">
      <c r="A24" s="27" t="s">
        <v>632</v>
      </c>
      <c r="B24" s="20" t="s">
        <v>1157</v>
      </c>
      <c r="C24" s="19">
        <v>23.99</v>
      </c>
      <c r="D24" s="19">
        <v>23.99</v>
      </c>
      <c r="E24" s="20">
        <f>IF('Notes &amp; Assumptions'!$C$4="Regular",D24,C24)</f>
        <v>23.99</v>
      </c>
      <c r="F24" s="19">
        <v>1</v>
      </c>
      <c r="G24" s="20" t="s">
        <v>1135</v>
      </c>
      <c r="H24" s="20">
        <f t="shared" si="0"/>
        <v>23.99</v>
      </c>
      <c r="I24" s="20" t="str">
        <f t="shared" si="1"/>
        <v/>
      </c>
      <c r="J24" s="20" t="s">
        <v>633</v>
      </c>
      <c r="K24" s="28" t="s">
        <v>1131</v>
      </c>
    </row>
    <row r="25" spans="1:11" x14ac:dyDescent="0.2">
      <c r="A25" s="8" t="s">
        <v>343</v>
      </c>
      <c r="B25" s="5" t="s">
        <v>1158</v>
      </c>
      <c r="C25" s="15">
        <v>39.9</v>
      </c>
      <c r="D25" s="15">
        <v>39.9</v>
      </c>
      <c r="E25" s="5">
        <f>IF('Notes &amp; Assumptions'!$C$4="Regular",D25,C25)</f>
        <v>39.9</v>
      </c>
      <c r="F25" s="15">
        <v>1000</v>
      </c>
      <c r="G25" s="5" t="s">
        <v>1130</v>
      </c>
      <c r="H25" s="5">
        <f t="shared" si="0"/>
        <v>3.9899999999999998E-2</v>
      </c>
      <c r="I25" s="5" t="str">
        <f t="shared" si="1"/>
        <v/>
      </c>
      <c r="J25" s="5" t="s">
        <v>344</v>
      </c>
      <c r="K25" s="7" t="s">
        <v>1131</v>
      </c>
    </row>
    <row r="26" spans="1:11" x14ac:dyDescent="0.2">
      <c r="A26" s="8" t="s">
        <v>756</v>
      </c>
      <c r="B26" s="5" t="s">
        <v>1159</v>
      </c>
      <c r="C26" s="15">
        <v>49.99</v>
      </c>
      <c r="D26" s="15">
        <v>49.99</v>
      </c>
      <c r="E26" s="5">
        <f>IF('Notes &amp; Assumptions'!$C$4="Regular",D26,C26)</f>
        <v>49.99</v>
      </c>
      <c r="F26" s="15">
        <v>1</v>
      </c>
      <c r="G26" s="5" t="s">
        <v>1135</v>
      </c>
      <c r="H26" s="5">
        <f t="shared" si="0"/>
        <v>49.99</v>
      </c>
      <c r="I26" s="5" t="str">
        <f t="shared" si="1"/>
        <v/>
      </c>
      <c r="J26" s="5"/>
      <c r="K26" s="7" t="s">
        <v>1131</v>
      </c>
    </row>
    <row r="27" spans="1:11" x14ac:dyDescent="0.2">
      <c r="A27" s="8" t="s">
        <v>575</v>
      </c>
      <c r="B27" s="5" t="s">
        <v>1160</v>
      </c>
      <c r="C27" s="15">
        <v>44.99</v>
      </c>
      <c r="D27" s="15">
        <v>44.99</v>
      </c>
      <c r="E27" s="5">
        <f>IF('Notes &amp; Assumptions'!$C$4="Regular",D27,C27)</f>
        <v>44.99</v>
      </c>
      <c r="F27" s="15">
        <v>500</v>
      </c>
      <c r="G27" s="5" t="s">
        <v>1130</v>
      </c>
      <c r="H27" s="5">
        <f t="shared" si="0"/>
        <v>8.9980000000000004E-2</v>
      </c>
      <c r="I27" s="5" t="str">
        <f t="shared" si="1"/>
        <v/>
      </c>
      <c r="J27" s="5"/>
      <c r="K27" s="7" t="s">
        <v>1131</v>
      </c>
    </row>
    <row r="28" spans="1:11" x14ac:dyDescent="0.2">
      <c r="A28" s="8" t="s">
        <v>351</v>
      </c>
      <c r="B28" s="5" t="s">
        <v>1161</v>
      </c>
      <c r="C28" s="15">
        <v>49.99</v>
      </c>
      <c r="D28" s="15">
        <v>49.99</v>
      </c>
      <c r="E28" s="5">
        <f>IF('Notes &amp; Assumptions'!$C$4="Regular",D28,C28)</f>
        <v>49.99</v>
      </c>
      <c r="F28" s="15">
        <v>800</v>
      </c>
      <c r="G28" s="5" t="s">
        <v>1130</v>
      </c>
      <c r="H28" s="5">
        <f t="shared" si="0"/>
        <v>6.2487500000000001E-2</v>
      </c>
      <c r="I28" s="5" t="str">
        <f t="shared" si="1"/>
        <v/>
      </c>
      <c r="J28" s="5"/>
      <c r="K28" s="7" t="s">
        <v>1131</v>
      </c>
    </row>
    <row r="29" spans="1:11" x14ac:dyDescent="0.2">
      <c r="A29" s="8" t="s">
        <v>541</v>
      </c>
      <c r="B29" s="5" t="s">
        <v>1162</v>
      </c>
      <c r="C29" s="15">
        <v>24.99</v>
      </c>
      <c r="D29" s="15">
        <v>24.99</v>
      </c>
      <c r="E29" s="5">
        <f>IF('Notes &amp; Assumptions'!$C$4="Regular",D29,C29)</f>
        <v>24.99</v>
      </c>
      <c r="F29" s="15">
        <v>1</v>
      </c>
      <c r="G29" s="5" t="s">
        <v>1135</v>
      </c>
      <c r="H29" s="5">
        <f t="shared" si="0"/>
        <v>24.99</v>
      </c>
      <c r="I29" s="5" t="str">
        <f t="shared" si="1"/>
        <v/>
      </c>
      <c r="J29" s="5"/>
      <c r="K29" s="7" t="s">
        <v>1131</v>
      </c>
    </row>
    <row r="30" spans="1:11" x14ac:dyDescent="0.2">
      <c r="A30" s="27" t="s">
        <v>659</v>
      </c>
      <c r="B30" s="20" t="s">
        <v>1163</v>
      </c>
      <c r="C30" s="19">
        <v>60.99</v>
      </c>
      <c r="D30" s="19">
        <v>69.989999999999995</v>
      </c>
      <c r="E30" s="20">
        <f>IF('Notes &amp; Assumptions'!$C$4="Regular",D30,C30)</f>
        <v>60.99</v>
      </c>
      <c r="F30" s="19">
        <v>1</v>
      </c>
      <c r="G30" s="20" t="s">
        <v>1135</v>
      </c>
      <c r="H30" s="20">
        <f t="shared" si="0"/>
        <v>60.99</v>
      </c>
      <c r="I30" s="20" t="str">
        <f t="shared" si="1"/>
        <v>Yes</v>
      </c>
      <c r="J30" s="20" t="s">
        <v>660</v>
      </c>
      <c r="K30" s="28" t="s">
        <v>1131</v>
      </c>
    </row>
    <row r="31" spans="1:11" x14ac:dyDescent="0.2">
      <c r="A31" s="8" t="s">
        <v>763</v>
      </c>
      <c r="B31" s="5" t="s">
        <v>1164</v>
      </c>
      <c r="C31" s="15">
        <v>24.93</v>
      </c>
      <c r="D31" s="15">
        <v>24.93</v>
      </c>
      <c r="E31" s="5">
        <f>IF('Notes &amp; Assumptions'!$C$4="Regular",D31,C31)</f>
        <v>24.93</v>
      </c>
      <c r="F31" s="15">
        <v>1</v>
      </c>
      <c r="G31" s="5" t="s">
        <v>1135</v>
      </c>
      <c r="H31" s="5">
        <f t="shared" si="0"/>
        <v>24.93</v>
      </c>
      <c r="I31" s="5" t="str">
        <f t="shared" si="1"/>
        <v/>
      </c>
      <c r="J31" s="5" t="s">
        <v>432</v>
      </c>
      <c r="K31" s="7" t="s">
        <v>1131</v>
      </c>
    </row>
    <row r="32" spans="1:11" x14ac:dyDescent="0.2">
      <c r="A32" s="8" t="s">
        <v>587</v>
      </c>
      <c r="B32" s="5" t="s">
        <v>1165</v>
      </c>
      <c r="C32" s="15">
        <v>25.99</v>
      </c>
      <c r="D32" s="15">
        <v>25.99</v>
      </c>
      <c r="E32" s="5">
        <f>IF('Notes &amp; Assumptions'!$C$4="Regular",D32,C32)</f>
        <v>25.99</v>
      </c>
      <c r="F32" s="15">
        <v>80</v>
      </c>
      <c r="G32" s="5" t="s">
        <v>1130</v>
      </c>
      <c r="H32" s="5">
        <f t="shared" si="0"/>
        <v>0.32487499999999997</v>
      </c>
      <c r="I32" s="5" t="str">
        <f t="shared" si="1"/>
        <v/>
      </c>
      <c r="J32" s="5"/>
      <c r="K32" s="7" t="s">
        <v>1131</v>
      </c>
    </row>
    <row r="33" spans="1:11" x14ac:dyDescent="0.2">
      <c r="A33" s="8" t="s">
        <v>966</v>
      </c>
      <c r="B33" s="5" t="s">
        <v>1166</v>
      </c>
      <c r="C33" s="15">
        <v>49.99</v>
      </c>
      <c r="D33" s="15">
        <v>49.99</v>
      </c>
      <c r="E33" s="5">
        <f>IF('Notes &amp; Assumptions'!$C$4="Regular",D33,C33)</f>
        <v>49.99</v>
      </c>
      <c r="F33" s="15">
        <v>150</v>
      </c>
      <c r="G33" s="5" t="s">
        <v>1130</v>
      </c>
      <c r="H33" s="5">
        <f t="shared" si="0"/>
        <v>0.33326666666666666</v>
      </c>
      <c r="I33" s="5" t="str">
        <f t="shared" si="1"/>
        <v/>
      </c>
      <c r="J33" s="5" t="s">
        <v>967</v>
      </c>
      <c r="K33" s="7" t="s">
        <v>1131</v>
      </c>
    </row>
    <row r="34" spans="1:11" x14ac:dyDescent="0.2">
      <c r="A34" s="8" t="s">
        <v>353</v>
      </c>
      <c r="B34" s="5" t="s">
        <v>1167</v>
      </c>
      <c r="C34" s="15">
        <v>21.99</v>
      </c>
      <c r="D34" s="15">
        <v>21.99</v>
      </c>
      <c r="E34" s="5">
        <f>IF('Notes &amp; Assumptions'!$C$4="Regular",D34,C34)</f>
        <v>21.99</v>
      </c>
      <c r="F34" s="15">
        <v>1000</v>
      </c>
      <c r="G34" s="5" t="s">
        <v>1130</v>
      </c>
      <c r="H34" s="5">
        <f t="shared" si="0"/>
        <v>2.1989999999999999E-2</v>
      </c>
      <c r="I34" s="5" t="str">
        <f t="shared" si="1"/>
        <v/>
      </c>
      <c r="J34" s="5"/>
      <c r="K34" s="7" t="s">
        <v>1131</v>
      </c>
    </row>
    <row r="35" spans="1:11" x14ac:dyDescent="0.2">
      <c r="A35" s="8" t="s">
        <v>599</v>
      </c>
      <c r="B35" s="5" t="s">
        <v>1168</v>
      </c>
      <c r="C35" s="15">
        <v>39.99</v>
      </c>
      <c r="D35" s="15">
        <v>39.99</v>
      </c>
      <c r="E35" s="5">
        <f>IF('Notes &amp; Assumptions'!$C$4="Regular",D35,C35)</f>
        <v>39.99</v>
      </c>
      <c r="F35" s="15">
        <v>750</v>
      </c>
      <c r="G35" s="5" t="s">
        <v>1133</v>
      </c>
      <c r="H35" s="5">
        <f t="shared" si="0"/>
        <v>5.3319999999999999E-2</v>
      </c>
      <c r="I35" s="5" t="str">
        <f t="shared" si="1"/>
        <v/>
      </c>
      <c r="J35" s="5"/>
      <c r="K35" s="7" t="s">
        <v>1131</v>
      </c>
    </row>
    <row r="36" spans="1:11" x14ac:dyDescent="0.2">
      <c r="A36" s="8" t="s">
        <v>998</v>
      </c>
      <c r="B36" s="5" t="s">
        <v>1169</v>
      </c>
      <c r="C36" s="15">
        <v>54.99</v>
      </c>
      <c r="D36" s="15">
        <v>54.99</v>
      </c>
      <c r="E36" s="5">
        <f>IF('Notes &amp; Assumptions'!$C$4="Regular",D36,C36)</f>
        <v>54.99</v>
      </c>
      <c r="F36" s="15">
        <v>4</v>
      </c>
      <c r="G36" s="5" t="s">
        <v>1135</v>
      </c>
      <c r="H36" s="5">
        <f t="shared" si="0"/>
        <v>13.7475</v>
      </c>
      <c r="I36" s="5" t="str">
        <f t="shared" si="1"/>
        <v/>
      </c>
      <c r="J36" s="5"/>
      <c r="K36" s="7" t="s">
        <v>1131</v>
      </c>
    </row>
    <row r="37" spans="1:11" x14ac:dyDescent="0.2">
      <c r="A37" s="8" t="s">
        <v>560</v>
      </c>
      <c r="B37" s="5" t="s">
        <v>1170</v>
      </c>
      <c r="C37" s="15">
        <v>28.99</v>
      </c>
      <c r="D37" s="15">
        <v>28.99</v>
      </c>
      <c r="E37" s="5">
        <f>IF('Notes &amp; Assumptions'!$C$4="Regular",D37,C37)</f>
        <v>28.99</v>
      </c>
      <c r="F37" s="15">
        <v>10</v>
      </c>
      <c r="G37" s="5" t="s">
        <v>1171</v>
      </c>
      <c r="H37" s="5">
        <f t="shared" si="0"/>
        <v>2.899</v>
      </c>
      <c r="I37" s="5" t="str">
        <f t="shared" si="1"/>
        <v/>
      </c>
      <c r="J37" s="5" t="s">
        <v>561</v>
      </c>
      <c r="K37" s="7" t="s">
        <v>1131</v>
      </c>
    </row>
    <row r="38" spans="1:11" x14ac:dyDescent="0.2">
      <c r="A38" s="8" t="s">
        <v>860</v>
      </c>
      <c r="B38" s="5" t="s">
        <v>1172</v>
      </c>
      <c r="C38" s="15">
        <v>62.99</v>
      </c>
      <c r="D38" s="15">
        <v>62.99</v>
      </c>
      <c r="E38" s="5">
        <f>IF('Notes &amp; Assumptions'!$C$4="Regular",D38,C38)</f>
        <v>62.99</v>
      </c>
      <c r="F38" s="15">
        <v>100</v>
      </c>
      <c r="G38" s="5" t="s">
        <v>1130</v>
      </c>
      <c r="H38" s="5">
        <f t="shared" si="0"/>
        <v>0.62990000000000002</v>
      </c>
      <c r="I38" s="5" t="str">
        <f t="shared" si="1"/>
        <v/>
      </c>
      <c r="J38" s="5"/>
      <c r="K38" s="7" t="s">
        <v>1131</v>
      </c>
    </row>
    <row r="39" spans="1:11" x14ac:dyDescent="0.2">
      <c r="A39" s="8" t="s">
        <v>518</v>
      </c>
      <c r="B39" s="5" t="s">
        <v>1173</v>
      </c>
      <c r="C39" s="15">
        <v>109.99</v>
      </c>
      <c r="D39" s="15">
        <v>109.99</v>
      </c>
      <c r="E39" s="5">
        <f>IF('Notes &amp; Assumptions'!$C$4="Regular",D39,C39)</f>
        <v>109.99</v>
      </c>
      <c r="F39" s="15">
        <v>250</v>
      </c>
      <c r="G39" s="5" t="s">
        <v>1130</v>
      </c>
      <c r="H39" s="5">
        <f t="shared" si="0"/>
        <v>0.43995999999999996</v>
      </c>
      <c r="I39" s="5" t="str">
        <f t="shared" si="1"/>
        <v/>
      </c>
      <c r="J39" s="5"/>
      <c r="K39" s="7" t="s">
        <v>1131</v>
      </c>
    </row>
    <row r="40" spans="1:11" x14ac:dyDescent="0.2">
      <c r="A40" s="27" t="s">
        <v>608</v>
      </c>
      <c r="B40" s="20" t="s">
        <v>1174</v>
      </c>
      <c r="C40" s="19">
        <v>19.989999999999998</v>
      </c>
      <c r="D40" s="19">
        <v>19.989999999999998</v>
      </c>
      <c r="E40" s="20">
        <f>IF('Notes &amp; Assumptions'!$C$4="Regular",D40,C40)</f>
        <v>19.989999999999998</v>
      </c>
      <c r="F40" s="19">
        <v>1</v>
      </c>
      <c r="G40" s="20" t="s">
        <v>1135</v>
      </c>
      <c r="H40" s="20">
        <f t="shared" si="0"/>
        <v>19.989999999999998</v>
      </c>
      <c r="I40" s="20" t="str">
        <f t="shared" si="1"/>
        <v/>
      </c>
      <c r="J40" s="20" t="s">
        <v>609</v>
      </c>
      <c r="K40" s="28" t="s">
        <v>1131</v>
      </c>
    </row>
    <row r="41" spans="1:11" x14ac:dyDescent="0.2">
      <c r="A41" s="8" t="s">
        <v>908</v>
      </c>
      <c r="B41" s="5" t="s">
        <v>1175</v>
      </c>
      <c r="C41" s="15">
        <v>105.79</v>
      </c>
      <c r="D41" s="15">
        <v>105.79</v>
      </c>
      <c r="E41" s="5">
        <f>IF('Notes &amp; Assumptions'!$C$4="Regular",D41,C41)</f>
        <v>105.79</v>
      </c>
      <c r="F41" s="15">
        <v>1</v>
      </c>
      <c r="G41" s="5" t="s">
        <v>1135</v>
      </c>
      <c r="H41" s="5">
        <f t="shared" si="0"/>
        <v>105.79</v>
      </c>
      <c r="I41" s="5" t="str">
        <f t="shared" si="1"/>
        <v/>
      </c>
      <c r="J41" s="5" t="s">
        <v>432</v>
      </c>
      <c r="K41" s="7" t="s">
        <v>1131</v>
      </c>
    </row>
    <row r="42" spans="1:11" x14ac:dyDescent="0.2">
      <c r="A42" s="8" t="s">
        <v>769</v>
      </c>
      <c r="B42" s="5" t="s">
        <v>1176</v>
      </c>
      <c r="C42" s="15">
        <v>69.75</v>
      </c>
      <c r="D42" s="15">
        <v>69.75</v>
      </c>
      <c r="E42" s="5">
        <f>IF('Notes &amp; Assumptions'!$C$4="Regular",D42,C42)</f>
        <v>69.75</v>
      </c>
      <c r="F42" s="15">
        <v>450</v>
      </c>
      <c r="G42" s="5" t="s">
        <v>1130</v>
      </c>
      <c r="H42" s="5">
        <f t="shared" si="0"/>
        <v>0.155</v>
      </c>
      <c r="I42" s="5" t="str">
        <f t="shared" si="1"/>
        <v/>
      </c>
      <c r="J42" s="5" t="s">
        <v>432</v>
      </c>
      <c r="K42" s="7" t="s">
        <v>1131</v>
      </c>
    </row>
    <row r="43" spans="1:11" x14ac:dyDescent="0.2">
      <c r="A43" s="8" t="s">
        <v>900</v>
      </c>
      <c r="B43" s="5" t="s">
        <v>1177</v>
      </c>
      <c r="C43" s="15">
        <v>49.99</v>
      </c>
      <c r="D43" s="15">
        <v>49.99</v>
      </c>
      <c r="E43" s="5">
        <f>IF('Notes &amp; Assumptions'!$C$4="Regular",D43,C43)</f>
        <v>49.99</v>
      </c>
      <c r="F43" s="15">
        <v>4</v>
      </c>
      <c r="G43" s="5" t="s">
        <v>1135</v>
      </c>
      <c r="H43" s="5">
        <f t="shared" si="0"/>
        <v>12.4975</v>
      </c>
      <c r="I43" s="5" t="str">
        <f t="shared" si="1"/>
        <v/>
      </c>
      <c r="J43" s="5"/>
      <c r="K43" s="7" t="s">
        <v>1131</v>
      </c>
    </row>
    <row r="44" spans="1:11" x14ac:dyDescent="0.2">
      <c r="A44" s="8" t="s">
        <v>878</v>
      </c>
      <c r="B44" s="5" t="s">
        <v>1178</v>
      </c>
      <c r="C44" s="15">
        <v>59.99</v>
      </c>
      <c r="D44" s="15">
        <v>59.99</v>
      </c>
      <c r="E44" s="5">
        <f>IF('Notes &amp; Assumptions'!$C$4="Regular",D44,C44)</f>
        <v>59.99</v>
      </c>
      <c r="F44" s="15">
        <v>500</v>
      </c>
      <c r="G44" s="5" t="s">
        <v>1130</v>
      </c>
      <c r="H44" s="5">
        <f t="shared" si="0"/>
        <v>0.11998</v>
      </c>
      <c r="I44" s="5" t="str">
        <f t="shared" si="1"/>
        <v/>
      </c>
      <c r="J44" s="5"/>
      <c r="K44" s="7" t="s">
        <v>1131</v>
      </c>
    </row>
    <row r="45" spans="1:11" x14ac:dyDescent="0.2">
      <c r="A45" s="8" t="s">
        <v>456</v>
      </c>
      <c r="B45" s="5" t="s">
        <v>1179</v>
      </c>
      <c r="C45" s="15">
        <v>28.99</v>
      </c>
      <c r="D45" s="15">
        <v>28.99</v>
      </c>
      <c r="E45" s="5">
        <f>IF('Notes &amp; Assumptions'!$C$4="Regular",D45,C45)</f>
        <v>28.99</v>
      </c>
      <c r="F45" s="15">
        <v>1</v>
      </c>
      <c r="G45" s="5" t="s">
        <v>1135</v>
      </c>
      <c r="H45" s="5">
        <f t="shared" si="0"/>
        <v>28.99</v>
      </c>
      <c r="I45" s="5" t="str">
        <f t="shared" si="1"/>
        <v/>
      </c>
      <c r="J45" s="5"/>
      <c r="K45" s="7" t="s">
        <v>1131</v>
      </c>
    </row>
    <row r="46" spans="1:11" x14ac:dyDescent="0.2">
      <c r="A46" s="8" t="s">
        <v>415</v>
      </c>
      <c r="B46" s="5" t="s">
        <v>1180</v>
      </c>
      <c r="C46" s="15">
        <v>81.99</v>
      </c>
      <c r="D46" s="15">
        <v>81.99</v>
      </c>
      <c r="E46" s="5">
        <f>IF('Notes &amp; Assumptions'!$C$4="Regular",D46,C46)</f>
        <v>81.99</v>
      </c>
      <c r="F46" s="15">
        <v>120</v>
      </c>
      <c r="G46" s="5" t="s">
        <v>1130</v>
      </c>
      <c r="H46" s="5">
        <f t="shared" si="0"/>
        <v>0.68324999999999991</v>
      </c>
      <c r="I46" s="5" t="str">
        <f t="shared" si="1"/>
        <v/>
      </c>
      <c r="J46" s="5" t="s">
        <v>1181</v>
      </c>
      <c r="K46" s="7" t="s">
        <v>1131</v>
      </c>
    </row>
    <row r="47" spans="1:11" x14ac:dyDescent="0.2">
      <c r="A47" s="8" t="s">
        <v>875</v>
      </c>
      <c r="B47" s="5" t="s">
        <v>1182</v>
      </c>
      <c r="C47" s="15">
        <v>34.99</v>
      </c>
      <c r="D47" s="15">
        <v>34.99</v>
      </c>
      <c r="E47" s="5">
        <f>IF('Notes &amp; Assumptions'!$C$4="Regular",D47,C47)</f>
        <v>34.99</v>
      </c>
      <c r="F47" s="15">
        <v>45</v>
      </c>
      <c r="G47" s="5" t="s">
        <v>1130</v>
      </c>
      <c r="H47" s="5">
        <f t="shared" si="0"/>
        <v>0.77755555555555556</v>
      </c>
      <c r="I47" s="5" t="str">
        <f t="shared" si="1"/>
        <v/>
      </c>
      <c r="J47" s="5"/>
      <c r="K47" s="7" t="s">
        <v>1131</v>
      </c>
    </row>
    <row r="48" spans="1:11" x14ac:dyDescent="0.2">
      <c r="A48" s="8" t="s">
        <v>765</v>
      </c>
      <c r="B48" s="5" t="s">
        <v>1183</v>
      </c>
      <c r="C48" s="15">
        <v>32.99</v>
      </c>
      <c r="D48" s="15">
        <v>32.99</v>
      </c>
      <c r="E48" s="5">
        <f>IF('Notes &amp; Assumptions'!$C$4="Regular",D48,C48)</f>
        <v>32.99</v>
      </c>
      <c r="F48" s="15">
        <v>200</v>
      </c>
      <c r="G48" s="5" t="s">
        <v>1130</v>
      </c>
      <c r="H48" s="5">
        <f t="shared" si="0"/>
        <v>0.16495000000000001</v>
      </c>
      <c r="I48" s="5" t="str">
        <f t="shared" si="1"/>
        <v/>
      </c>
      <c r="J48" s="5"/>
      <c r="K48" s="7" t="s">
        <v>1131</v>
      </c>
    </row>
    <row r="49" spans="1:11" x14ac:dyDescent="0.2">
      <c r="A49" s="8" t="s">
        <v>1032</v>
      </c>
      <c r="B49" s="5" t="s">
        <v>1184</v>
      </c>
      <c r="C49" s="15">
        <v>69.989999999999995</v>
      </c>
      <c r="D49" s="15">
        <v>69.989999999999995</v>
      </c>
      <c r="E49" s="5">
        <f>IF('Notes &amp; Assumptions'!$C$4="Regular",D49,C49)</f>
        <v>69.989999999999995</v>
      </c>
      <c r="F49" s="15">
        <v>100</v>
      </c>
      <c r="G49" s="5" t="s">
        <v>1130</v>
      </c>
      <c r="H49" s="5">
        <f t="shared" si="0"/>
        <v>0.69989999999999997</v>
      </c>
      <c r="I49" s="5" t="str">
        <f t="shared" si="1"/>
        <v/>
      </c>
      <c r="J49" s="5"/>
      <c r="K49" s="7" t="s">
        <v>1131</v>
      </c>
    </row>
    <row r="50" spans="1:11" x14ac:dyDescent="0.2">
      <c r="A50" s="8" t="s">
        <v>595</v>
      </c>
      <c r="B50" s="5" t="s">
        <v>1185</v>
      </c>
      <c r="C50" s="15">
        <v>54.99</v>
      </c>
      <c r="D50" s="15">
        <v>54.99</v>
      </c>
      <c r="E50" s="5">
        <f>IF('Notes &amp; Assumptions'!$C$4="Regular",D50,C50)</f>
        <v>54.99</v>
      </c>
      <c r="F50" s="15">
        <v>168</v>
      </c>
      <c r="G50" s="5" t="s">
        <v>1130</v>
      </c>
      <c r="H50" s="5">
        <f t="shared" si="0"/>
        <v>0.3273214285714286</v>
      </c>
      <c r="I50" s="5" t="str">
        <f t="shared" si="1"/>
        <v/>
      </c>
      <c r="J50" s="5"/>
      <c r="K50" s="7" t="s">
        <v>1131</v>
      </c>
    </row>
    <row r="51" spans="1:11" x14ac:dyDescent="0.2">
      <c r="A51" s="8" t="s">
        <v>421</v>
      </c>
      <c r="B51" s="5" t="s">
        <v>1186</v>
      </c>
      <c r="C51" s="15">
        <v>49.99</v>
      </c>
      <c r="D51" s="15">
        <v>49.99</v>
      </c>
      <c r="E51" s="5">
        <f>IF('Notes &amp; Assumptions'!$C$4="Regular",D51,C51)</f>
        <v>49.99</v>
      </c>
      <c r="F51" s="15">
        <v>750</v>
      </c>
      <c r="G51" s="5" t="s">
        <v>1130</v>
      </c>
      <c r="H51" s="5">
        <f t="shared" si="0"/>
        <v>6.6653333333333342E-2</v>
      </c>
      <c r="I51" s="5" t="str">
        <f t="shared" si="1"/>
        <v/>
      </c>
      <c r="J51" s="5"/>
      <c r="K51" s="7" t="s">
        <v>1131</v>
      </c>
    </row>
    <row r="52" spans="1:11" x14ac:dyDescent="0.2">
      <c r="A52" s="8" t="s">
        <v>921</v>
      </c>
      <c r="B52" s="5" t="s">
        <v>1187</v>
      </c>
      <c r="C52" s="15">
        <v>42.99</v>
      </c>
      <c r="D52" s="15">
        <v>42.99</v>
      </c>
      <c r="E52" s="5">
        <f>IF('Notes &amp; Assumptions'!$C$4="Regular",D52,C52)</f>
        <v>42.99</v>
      </c>
      <c r="F52" s="15">
        <v>200</v>
      </c>
      <c r="G52" s="5" t="s">
        <v>1130</v>
      </c>
      <c r="H52" s="5">
        <f t="shared" si="0"/>
        <v>0.21495</v>
      </c>
      <c r="I52" s="5" t="str">
        <f t="shared" si="1"/>
        <v/>
      </c>
      <c r="J52" s="5"/>
      <c r="K52" s="7" t="s">
        <v>1131</v>
      </c>
    </row>
    <row r="53" spans="1:11" x14ac:dyDescent="0.2">
      <c r="A53" s="8" t="s">
        <v>760</v>
      </c>
      <c r="B53" s="5" t="s">
        <v>1188</v>
      </c>
      <c r="C53" s="15">
        <v>48.99</v>
      </c>
      <c r="D53" s="15">
        <v>48.99</v>
      </c>
      <c r="E53" s="5">
        <f>IF('Notes &amp; Assumptions'!$C$4="Regular",D53,C53)</f>
        <v>48.99</v>
      </c>
      <c r="F53" s="15">
        <v>250</v>
      </c>
      <c r="G53" s="5" t="s">
        <v>1130</v>
      </c>
      <c r="H53" s="5">
        <f t="shared" si="0"/>
        <v>0.19596</v>
      </c>
      <c r="I53" s="5" t="str">
        <f t="shared" si="1"/>
        <v/>
      </c>
      <c r="J53" s="5" t="s">
        <v>1189</v>
      </c>
      <c r="K53" s="7" t="s">
        <v>1131</v>
      </c>
    </row>
    <row r="54" spans="1:11" x14ac:dyDescent="0.2">
      <c r="A54" s="8" t="s">
        <v>620</v>
      </c>
      <c r="B54" s="5" t="s">
        <v>1190</v>
      </c>
      <c r="C54" s="15">
        <v>51.99</v>
      </c>
      <c r="D54" s="15">
        <v>61.99</v>
      </c>
      <c r="E54" s="5">
        <f>IF('Notes &amp; Assumptions'!$C$4="Regular",D54,C54)</f>
        <v>51.99</v>
      </c>
      <c r="F54" s="15">
        <v>235</v>
      </c>
      <c r="G54" s="5" t="s">
        <v>1130</v>
      </c>
      <c r="H54" s="5">
        <f t="shared" si="0"/>
        <v>0.22123404255319148</v>
      </c>
      <c r="I54" s="5" t="str">
        <f t="shared" si="1"/>
        <v>Yes</v>
      </c>
      <c r="J54" s="5"/>
      <c r="K54" s="7" t="s">
        <v>1131</v>
      </c>
    </row>
    <row r="55" spans="1:11" x14ac:dyDescent="0.2">
      <c r="A55" s="27" t="s">
        <v>893</v>
      </c>
      <c r="B55" s="20" t="s">
        <v>1191</v>
      </c>
      <c r="C55" s="19">
        <v>65.989999999999995</v>
      </c>
      <c r="D55" s="19">
        <v>65.989999999999995</v>
      </c>
      <c r="E55" s="20">
        <f>IF('Notes &amp; Assumptions'!$C$4="Regular",D55,C55)</f>
        <v>65.989999999999995</v>
      </c>
      <c r="F55" s="19">
        <v>1</v>
      </c>
      <c r="G55" s="20" t="s">
        <v>1135</v>
      </c>
      <c r="H55" s="20">
        <f t="shared" si="0"/>
        <v>65.989999999999995</v>
      </c>
      <c r="I55" s="20" t="str">
        <f t="shared" si="1"/>
        <v/>
      </c>
      <c r="J55" s="20" t="s">
        <v>1192</v>
      </c>
      <c r="K55" s="28" t="s">
        <v>1131</v>
      </c>
    </row>
    <row r="56" spans="1:11" x14ac:dyDescent="0.2">
      <c r="A56" s="8" t="s">
        <v>335</v>
      </c>
      <c r="B56" s="5" t="s">
        <v>1193</v>
      </c>
      <c r="C56" s="15">
        <v>199.99</v>
      </c>
      <c r="D56" s="15">
        <v>199.99</v>
      </c>
      <c r="E56" s="5">
        <f>IF('Notes &amp; Assumptions'!$C$4="Regular",D56,C56)</f>
        <v>199.99</v>
      </c>
      <c r="F56" s="15">
        <v>250</v>
      </c>
      <c r="G56" s="5" t="s">
        <v>1133</v>
      </c>
      <c r="H56" s="5">
        <f t="shared" si="0"/>
        <v>0.79996</v>
      </c>
      <c r="I56" s="5" t="str">
        <f t="shared" si="1"/>
        <v/>
      </c>
      <c r="J56" s="5"/>
      <c r="K56" s="7" t="s">
        <v>1131</v>
      </c>
    </row>
    <row r="57" spans="1:11" x14ac:dyDescent="0.2">
      <c r="A57" s="8" t="s">
        <v>1009</v>
      </c>
      <c r="B57" s="5" t="s">
        <v>1194</v>
      </c>
      <c r="C57" s="15">
        <v>19.989999999999998</v>
      </c>
      <c r="D57" s="15">
        <v>19.989999999999998</v>
      </c>
      <c r="E57" s="5">
        <f>IF('Notes &amp; Assumptions'!$C$4="Regular",D57,C57)</f>
        <v>19.989999999999998</v>
      </c>
      <c r="F57" s="15">
        <v>50</v>
      </c>
      <c r="G57" s="5" t="s">
        <v>1130</v>
      </c>
      <c r="H57" s="5">
        <f t="shared" si="0"/>
        <v>0.39979999999999999</v>
      </c>
      <c r="I57" s="5" t="str">
        <f t="shared" si="1"/>
        <v/>
      </c>
      <c r="J57" s="5"/>
      <c r="K57" s="7" t="s">
        <v>1131</v>
      </c>
    </row>
    <row r="58" spans="1:11" x14ac:dyDescent="0.2">
      <c r="A58" s="8" t="s">
        <v>299</v>
      </c>
      <c r="B58" s="5" t="s">
        <v>1195</v>
      </c>
      <c r="C58" s="15">
        <v>74.989999999999995</v>
      </c>
      <c r="D58" s="15">
        <v>74.989999999999995</v>
      </c>
      <c r="E58" s="5">
        <f>IF('Notes &amp; Assumptions'!$C$4="Regular",D58,C58)</f>
        <v>74.989999999999995</v>
      </c>
      <c r="F58" s="15">
        <v>1</v>
      </c>
      <c r="G58" s="5" t="s">
        <v>1135</v>
      </c>
      <c r="H58" s="5">
        <f t="shared" si="0"/>
        <v>74.989999999999995</v>
      </c>
      <c r="I58" s="5" t="str">
        <f t="shared" si="1"/>
        <v/>
      </c>
      <c r="J58" s="5"/>
      <c r="K58" s="7" t="s">
        <v>1131</v>
      </c>
    </row>
    <row r="59" spans="1:11" x14ac:dyDescent="0.2">
      <c r="A59" s="8" t="s">
        <v>367</v>
      </c>
      <c r="B59" s="5" t="s">
        <v>1196</v>
      </c>
      <c r="C59" s="15">
        <v>29.99</v>
      </c>
      <c r="D59" s="15">
        <v>29.99</v>
      </c>
      <c r="E59" s="5">
        <f>IF('Notes &amp; Assumptions'!$C$4="Regular",D59,C59)</f>
        <v>29.99</v>
      </c>
      <c r="F59" s="15">
        <v>30</v>
      </c>
      <c r="G59" s="5" t="s">
        <v>1130</v>
      </c>
      <c r="H59" s="5">
        <f t="shared" si="0"/>
        <v>0.99966666666666659</v>
      </c>
      <c r="I59" s="5" t="str">
        <f t="shared" si="1"/>
        <v/>
      </c>
      <c r="J59" s="5"/>
      <c r="K59" s="7" t="s">
        <v>1131</v>
      </c>
    </row>
    <row r="60" spans="1:11" x14ac:dyDescent="0.2">
      <c r="A60" s="8" t="s">
        <v>1038</v>
      </c>
      <c r="B60" s="5" t="s">
        <v>1197</v>
      </c>
      <c r="C60" s="15">
        <v>99.99</v>
      </c>
      <c r="D60" s="15">
        <v>99.99</v>
      </c>
      <c r="E60" s="5">
        <f>IF('Notes &amp; Assumptions'!$C$4="Regular",D60,C60)</f>
        <v>99.99</v>
      </c>
      <c r="F60" s="15">
        <v>12</v>
      </c>
      <c r="G60" s="5" t="s">
        <v>1135</v>
      </c>
      <c r="H60" s="5">
        <f t="shared" si="0"/>
        <v>8.3324999999999996</v>
      </c>
      <c r="I60" s="5" t="str">
        <f t="shared" si="1"/>
        <v/>
      </c>
      <c r="J60" s="5"/>
      <c r="K60" s="7" t="s">
        <v>1131</v>
      </c>
    </row>
    <row r="61" spans="1:11" x14ac:dyDescent="0.2">
      <c r="A61" s="8" t="s">
        <v>643</v>
      </c>
      <c r="B61" s="5" t="s">
        <v>1198</v>
      </c>
      <c r="C61" s="15">
        <v>120</v>
      </c>
      <c r="D61" s="15">
        <v>120</v>
      </c>
      <c r="E61" s="5">
        <f>IF('Notes &amp; Assumptions'!$C$4="Regular",D61,C61)</f>
        <v>120</v>
      </c>
      <c r="F61" s="15">
        <v>500</v>
      </c>
      <c r="G61" s="5" t="s">
        <v>1130</v>
      </c>
      <c r="H61" s="5">
        <f t="shared" si="0"/>
        <v>0.24</v>
      </c>
      <c r="I61" s="5" t="str">
        <f t="shared" si="1"/>
        <v/>
      </c>
      <c r="J61" s="5" t="s">
        <v>432</v>
      </c>
      <c r="K61" s="7" t="s">
        <v>1131</v>
      </c>
    </row>
    <row r="62" spans="1:11" x14ac:dyDescent="0.2">
      <c r="A62" s="8" t="s">
        <v>688</v>
      </c>
      <c r="B62" s="5" t="s">
        <v>1199</v>
      </c>
      <c r="C62" s="15">
        <v>113.99</v>
      </c>
      <c r="D62" s="15">
        <v>113.99</v>
      </c>
      <c r="E62" s="5">
        <f>IF('Notes &amp; Assumptions'!$C$4="Regular",D62,C62)</f>
        <v>113.99</v>
      </c>
      <c r="F62" s="15">
        <v>1</v>
      </c>
      <c r="G62" s="5" t="s">
        <v>1135</v>
      </c>
      <c r="H62" s="5">
        <f t="shared" si="0"/>
        <v>113.99</v>
      </c>
      <c r="I62" s="5" t="str">
        <f t="shared" si="1"/>
        <v/>
      </c>
      <c r="J62" s="5" t="s">
        <v>432</v>
      </c>
      <c r="K62" s="7" t="s">
        <v>1131</v>
      </c>
    </row>
    <row r="63" spans="1:11" x14ac:dyDescent="0.2">
      <c r="A63" s="8" t="s">
        <v>650</v>
      </c>
      <c r="B63" s="5" t="s">
        <v>1200</v>
      </c>
      <c r="C63" s="15">
        <v>82.5</v>
      </c>
      <c r="D63" s="15">
        <v>82.5</v>
      </c>
      <c r="E63" s="5">
        <f>IF('Notes &amp; Assumptions'!$C$4="Regular",D63,C63)</f>
        <v>82.5</v>
      </c>
      <c r="F63" s="15">
        <v>1</v>
      </c>
      <c r="G63" s="5" t="s">
        <v>1135</v>
      </c>
      <c r="H63" s="5">
        <f t="shared" si="0"/>
        <v>82.5</v>
      </c>
      <c r="I63" s="5" t="str">
        <f t="shared" si="1"/>
        <v/>
      </c>
      <c r="J63" s="5" t="s">
        <v>432</v>
      </c>
      <c r="K63" s="7" t="s">
        <v>1131</v>
      </c>
    </row>
    <row r="64" spans="1:11" x14ac:dyDescent="0.2">
      <c r="A64" s="8" t="s">
        <v>668</v>
      </c>
      <c r="B64" s="5" t="s">
        <v>1201</v>
      </c>
      <c r="C64" s="15">
        <v>139.99</v>
      </c>
      <c r="D64" s="15">
        <v>139.99</v>
      </c>
      <c r="E64" s="5">
        <f>IF('Notes &amp; Assumptions'!$C$4="Regular",D64,C64)</f>
        <v>139.99</v>
      </c>
      <c r="F64" s="15">
        <v>12</v>
      </c>
      <c r="G64" s="5" t="s">
        <v>1135</v>
      </c>
      <c r="H64" s="5">
        <f t="shared" si="0"/>
        <v>11.665833333333333</v>
      </c>
      <c r="I64" s="5" t="str">
        <f t="shared" si="1"/>
        <v/>
      </c>
      <c r="J64" s="5"/>
      <c r="K64" s="7" t="s">
        <v>1131</v>
      </c>
    </row>
    <row r="65" spans="1:11" x14ac:dyDescent="0.2">
      <c r="A65" s="8" t="s">
        <v>311</v>
      </c>
      <c r="B65" s="5" t="s">
        <v>1202</v>
      </c>
      <c r="C65" s="15">
        <v>29.99</v>
      </c>
      <c r="D65" s="15">
        <v>29.99</v>
      </c>
      <c r="E65" s="5">
        <f>IF('Notes &amp; Assumptions'!$C$4="Regular",D65,C65)</f>
        <v>29.99</v>
      </c>
      <c r="F65" s="15">
        <v>6</v>
      </c>
      <c r="G65" s="5" t="s">
        <v>1135</v>
      </c>
      <c r="H65" s="5">
        <f t="shared" si="0"/>
        <v>4.9983333333333331</v>
      </c>
      <c r="I65" s="5" t="str">
        <f t="shared" si="1"/>
        <v/>
      </c>
      <c r="J65" s="5"/>
      <c r="K65" s="7" t="s">
        <v>1131</v>
      </c>
    </row>
    <row r="66" spans="1:11" x14ac:dyDescent="0.2">
      <c r="A66" s="8" t="s">
        <v>497</v>
      </c>
      <c r="B66" s="5" t="s">
        <v>1203</v>
      </c>
      <c r="C66" s="15">
        <v>135.99</v>
      </c>
      <c r="D66" s="15">
        <v>135.99</v>
      </c>
      <c r="E66" s="5">
        <f>IF('Notes &amp; Assumptions'!$C$4="Regular",D66,C66)</f>
        <v>135.99</v>
      </c>
      <c r="F66" s="15">
        <v>800</v>
      </c>
      <c r="G66" s="5" t="s">
        <v>1130</v>
      </c>
      <c r="H66" s="5">
        <f t="shared" ref="H66:H129" si="2">E66/F66</f>
        <v>0.16998750000000001</v>
      </c>
      <c r="I66" s="5" t="str">
        <f t="shared" ref="I66:I129" si="3">IF(C66&lt;D66,"Yes","")</f>
        <v/>
      </c>
      <c r="J66" s="5" t="s">
        <v>432</v>
      </c>
      <c r="K66" s="7" t="s">
        <v>1131</v>
      </c>
    </row>
    <row r="67" spans="1:11" x14ac:dyDescent="0.2">
      <c r="A67" s="8" t="s">
        <v>486</v>
      </c>
      <c r="B67" s="5" t="s">
        <v>1204</v>
      </c>
      <c r="C67" s="15">
        <v>15.99</v>
      </c>
      <c r="D67" s="15">
        <v>15.99</v>
      </c>
      <c r="E67" s="5">
        <f>IF('Notes &amp; Assumptions'!$C$4="Regular",D67,C67)</f>
        <v>15.99</v>
      </c>
      <c r="F67" s="15">
        <v>1</v>
      </c>
      <c r="G67" s="5" t="s">
        <v>1205</v>
      </c>
      <c r="H67" s="5">
        <f t="shared" si="2"/>
        <v>15.99</v>
      </c>
      <c r="I67" s="5" t="str">
        <f t="shared" si="3"/>
        <v/>
      </c>
      <c r="J67" s="5"/>
      <c r="K67" s="7" t="s">
        <v>1131</v>
      </c>
    </row>
    <row r="68" spans="1:11" x14ac:dyDescent="0.2">
      <c r="A68" s="8" t="s">
        <v>571</v>
      </c>
      <c r="B68" s="5" t="s">
        <v>1206</v>
      </c>
      <c r="C68" s="15">
        <v>15.99</v>
      </c>
      <c r="D68" s="15">
        <v>15.99</v>
      </c>
      <c r="E68" s="5">
        <f>IF('Notes &amp; Assumptions'!$C$4="Regular",D68,C68)</f>
        <v>15.99</v>
      </c>
      <c r="F68" s="15">
        <v>1</v>
      </c>
      <c r="G68" s="5" t="s">
        <v>1205</v>
      </c>
      <c r="H68" s="5">
        <f t="shared" si="2"/>
        <v>15.99</v>
      </c>
      <c r="I68" s="5" t="str">
        <f t="shared" si="3"/>
        <v/>
      </c>
      <c r="J68" s="5"/>
      <c r="K68" s="7" t="s">
        <v>1131</v>
      </c>
    </row>
    <row r="69" spans="1:11" x14ac:dyDescent="0.2">
      <c r="A69" s="8" t="s">
        <v>656</v>
      </c>
      <c r="B69" s="5" t="s">
        <v>1207</v>
      </c>
      <c r="C69" s="15">
        <v>76.989999999999995</v>
      </c>
      <c r="D69" s="15">
        <v>76.989999999999995</v>
      </c>
      <c r="E69" s="5">
        <f>IF('Notes &amp; Assumptions'!$C$4="Regular",D69,C69)</f>
        <v>76.989999999999995</v>
      </c>
      <c r="F69" s="15">
        <v>6</v>
      </c>
      <c r="G69" s="5" t="s">
        <v>1135</v>
      </c>
      <c r="H69" s="5">
        <f t="shared" si="2"/>
        <v>12.831666666666665</v>
      </c>
      <c r="I69" s="5" t="str">
        <f t="shared" si="3"/>
        <v/>
      </c>
      <c r="J69" s="5"/>
      <c r="K69" s="7" t="s">
        <v>1131</v>
      </c>
    </row>
    <row r="70" spans="1:11" x14ac:dyDescent="0.2">
      <c r="A70" s="8" t="s">
        <v>424</v>
      </c>
      <c r="B70" s="5" t="s">
        <v>1208</v>
      </c>
      <c r="C70" s="15">
        <v>15.99</v>
      </c>
      <c r="D70" s="15">
        <v>15.99</v>
      </c>
      <c r="E70" s="5">
        <f>IF('Notes &amp; Assumptions'!$C$4="Regular",D70,C70)</f>
        <v>15.99</v>
      </c>
      <c r="F70" s="15">
        <v>1</v>
      </c>
      <c r="G70" s="5" t="s">
        <v>1205</v>
      </c>
      <c r="H70" s="5">
        <f t="shared" si="2"/>
        <v>15.99</v>
      </c>
      <c r="I70" s="5" t="str">
        <f t="shared" si="3"/>
        <v/>
      </c>
      <c r="J70" s="5"/>
      <c r="K70" s="7" t="s">
        <v>1131</v>
      </c>
    </row>
    <row r="71" spans="1:11" x14ac:dyDescent="0.2">
      <c r="A71" s="8" t="s">
        <v>409</v>
      </c>
      <c r="B71" s="5" t="s">
        <v>1209</v>
      </c>
      <c r="C71" s="15">
        <v>15.99</v>
      </c>
      <c r="D71" s="15">
        <v>15.99</v>
      </c>
      <c r="E71" s="5">
        <f>IF('Notes &amp; Assumptions'!$C$4="Regular",D71,C71)</f>
        <v>15.99</v>
      </c>
      <c r="F71" s="15">
        <v>1</v>
      </c>
      <c r="G71" s="5" t="s">
        <v>1205</v>
      </c>
      <c r="H71" s="5">
        <f t="shared" si="2"/>
        <v>15.99</v>
      </c>
      <c r="I71" s="5" t="str">
        <f t="shared" si="3"/>
        <v/>
      </c>
      <c r="J71" s="5"/>
      <c r="K71" s="7" t="s">
        <v>1131</v>
      </c>
    </row>
    <row r="72" spans="1:11" x14ac:dyDescent="0.2">
      <c r="A72" s="8" t="s">
        <v>439</v>
      </c>
      <c r="B72" s="5" t="s">
        <v>1210</v>
      </c>
      <c r="C72" s="15">
        <v>32.99</v>
      </c>
      <c r="D72" s="15">
        <v>32.99</v>
      </c>
      <c r="E72" s="5">
        <f>IF('Notes &amp; Assumptions'!$C$4="Regular",D72,C72)</f>
        <v>32.99</v>
      </c>
      <c r="F72" s="15">
        <v>50</v>
      </c>
      <c r="G72" s="5" t="s">
        <v>1130</v>
      </c>
      <c r="H72" s="5">
        <f t="shared" si="2"/>
        <v>0.65980000000000005</v>
      </c>
      <c r="I72" s="5" t="str">
        <f t="shared" si="3"/>
        <v/>
      </c>
      <c r="J72" s="5"/>
      <c r="K72" s="7" t="s">
        <v>1131</v>
      </c>
    </row>
    <row r="73" spans="1:11" x14ac:dyDescent="0.2">
      <c r="A73" s="8" t="s">
        <v>566</v>
      </c>
      <c r="B73" s="5" t="s">
        <v>1211</v>
      </c>
      <c r="C73" s="15">
        <v>54.99</v>
      </c>
      <c r="D73" s="15">
        <v>54.99</v>
      </c>
      <c r="E73" s="5">
        <f>IF('Notes &amp; Assumptions'!$C$4="Regular",D73,C73)</f>
        <v>54.99</v>
      </c>
      <c r="F73" s="15">
        <v>500</v>
      </c>
      <c r="G73" s="5" t="s">
        <v>1133</v>
      </c>
      <c r="H73" s="5">
        <f t="shared" si="2"/>
        <v>0.10998000000000001</v>
      </c>
      <c r="I73" s="5" t="str">
        <f t="shared" si="3"/>
        <v/>
      </c>
      <c r="J73" s="5"/>
      <c r="K73" s="7" t="s">
        <v>1131</v>
      </c>
    </row>
    <row r="74" spans="1:11" x14ac:dyDescent="0.2">
      <c r="A74" s="8" t="s">
        <v>887</v>
      </c>
      <c r="B74" s="5" t="s">
        <v>1212</v>
      </c>
      <c r="C74" s="15">
        <v>39.99</v>
      </c>
      <c r="D74" s="15">
        <v>39.99</v>
      </c>
      <c r="E74" s="5">
        <f>IF('Notes &amp; Assumptions'!$C$4="Regular",D74,C74)</f>
        <v>39.99</v>
      </c>
      <c r="F74" s="15">
        <v>500</v>
      </c>
      <c r="G74" s="5" t="s">
        <v>1133</v>
      </c>
      <c r="H74" s="5">
        <f t="shared" si="2"/>
        <v>7.9980000000000009E-2</v>
      </c>
      <c r="I74" s="5" t="str">
        <f t="shared" si="3"/>
        <v/>
      </c>
      <c r="J74" s="5"/>
      <c r="K74" s="7" t="s">
        <v>1131</v>
      </c>
    </row>
    <row r="75" spans="1:11" x14ac:dyDescent="0.2">
      <c r="A75" s="8" t="s">
        <v>672</v>
      </c>
      <c r="B75" s="5" t="s">
        <v>1213</v>
      </c>
      <c r="C75" s="15">
        <v>15.99</v>
      </c>
      <c r="D75" s="15">
        <v>15.99</v>
      </c>
      <c r="E75" s="5">
        <f>IF('Notes &amp; Assumptions'!$C$4="Regular",D75,C75)</f>
        <v>15.99</v>
      </c>
      <c r="F75" s="15">
        <v>1</v>
      </c>
      <c r="G75" s="5" t="s">
        <v>1205</v>
      </c>
      <c r="H75" s="5">
        <f t="shared" si="2"/>
        <v>15.99</v>
      </c>
      <c r="I75" s="5" t="str">
        <f t="shared" si="3"/>
        <v/>
      </c>
      <c r="J75" s="5"/>
      <c r="K75" s="7" t="s">
        <v>1131</v>
      </c>
    </row>
    <row r="76" spans="1:11" x14ac:dyDescent="0.2">
      <c r="A76" s="8" t="s">
        <v>382</v>
      </c>
      <c r="B76" s="5" t="s">
        <v>1214</v>
      </c>
      <c r="C76" s="15">
        <v>15.99</v>
      </c>
      <c r="D76" s="15">
        <v>15.99</v>
      </c>
      <c r="E76" s="5">
        <f>IF('Notes &amp; Assumptions'!$C$4="Regular",D76,C76)</f>
        <v>15.99</v>
      </c>
      <c r="F76" s="15">
        <v>1</v>
      </c>
      <c r="G76" s="5" t="s">
        <v>1205</v>
      </c>
      <c r="H76" s="5">
        <f t="shared" si="2"/>
        <v>15.99</v>
      </c>
      <c r="I76" s="5" t="str">
        <f t="shared" si="3"/>
        <v/>
      </c>
      <c r="J76" s="5"/>
      <c r="K76" s="7" t="s">
        <v>1131</v>
      </c>
    </row>
    <row r="77" spans="1:11" x14ac:dyDescent="0.2">
      <c r="A77" s="8" t="s">
        <v>377</v>
      </c>
      <c r="B77" s="5" t="s">
        <v>1215</v>
      </c>
      <c r="C77" s="15">
        <v>29.99</v>
      </c>
      <c r="D77" s="15">
        <v>29.99</v>
      </c>
      <c r="E77" s="5">
        <f>IF('Notes &amp; Assumptions'!$C$4="Regular",D77,C77)</f>
        <v>29.99</v>
      </c>
      <c r="F77" s="15">
        <v>10</v>
      </c>
      <c r="G77" s="5" t="s">
        <v>1216</v>
      </c>
      <c r="H77" s="5">
        <f t="shared" si="2"/>
        <v>2.9989999999999997</v>
      </c>
      <c r="I77" s="5" t="str">
        <f t="shared" si="3"/>
        <v/>
      </c>
      <c r="J77" s="5" t="s">
        <v>378</v>
      </c>
      <c r="K77" s="7" t="s">
        <v>1131</v>
      </c>
    </row>
    <row r="78" spans="1:11" x14ac:dyDescent="0.2">
      <c r="A78" s="8" t="s">
        <v>461</v>
      </c>
      <c r="B78" s="5" t="s">
        <v>1217</v>
      </c>
      <c r="C78" s="15">
        <v>15.99</v>
      </c>
      <c r="D78" s="15">
        <v>15.99</v>
      </c>
      <c r="E78" s="5">
        <f>IF('Notes &amp; Assumptions'!$C$4="Regular",D78,C78)</f>
        <v>15.99</v>
      </c>
      <c r="F78" s="15">
        <v>1</v>
      </c>
      <c r="G78" s="5" t="s">
        <v>1205</v>
      </c>
      <c r="H78" s="5">
        <f t="shared" si="2"/>
        <v>15.99</v>
      </c>
      <c r="I78" s="5" t="str">
        <f t="shared" si="3"/>
        <v/>
      </c>
      <c r="J78" s="5"/>
      <c r="K78" s="7" t="s">
        <v>1131</v>
      </c>
    </row>
    <row r="79" spans="1:11" x14ac:dyDescent="0.2">
      <c r="A79" s="8" t="s">
        <v>1016</v>
      </c>
      <c r="B79" s="5" t="s">
        <v>1218</v>
      </c>
      <c r="C79" s="15">
        <v>15.99</v>
      </c>
      <c r="D79" s="15">
        <v>15.99</v>
      </c>
      <c r="E79" s="5">
        <f>IF('Notes &amp; Assumptions'!$C$4="Regular",D79,C79)</f>
        <v>15.99</v>
      </c>
      <c r="F79" s="15">
        <v>1</v>
      </c>
      <c r="G79" s="5" t="s">
        <v>1135</v>
      </c>
      <c r="H79" s="5">
        <f t="shared" si="2"/>
        <v>15.99</v>
      </c>
      <c r="I79" s="5" t="str">
        <f t="shared" si="3"/>
        <v/>
      </c>
      <c r="J79" s="5"/>
      <c r="K79" s="7" t="s">
        <v>1131</v>
      </c>
    </row>
    <row r="80" spans="1:11" x14ac:dyDescent="0.2">
      <c r="A80" s="8" t="s">
        <v>495</v>
      </c>
      <c r="B80" s="5" t="s">
        <v>1219</v>
      </c>
      <c r="C80" s="15">
        <v>15.99</v>
      </c>
      <c r="D80" s="15">
        <v>15.99</v>
      </c>
      <c r="E80" s="5">
        <f>IF('Notes &amp; Assumptions'!$C$4="Regular",D80,C80)</f>
        <v>15.99</v>
      </c>
      <c r="F80" s="15">
        <v>1</v>
      </c>
      <c r="G80" s="5" t="s">
        <v>1205</v>
      </c>
      <c r="H80" s="5">
        <f t="shared" si="2"/>
        <v>15.99</v>
      </c>
      <c r="I80" s="5" t="str">
        <f t="shared" si="3"/>
        <v/>
      </c>
      <c r="J80" s="5"/>
      <c r="K80" s="7" t="s">
        <v>1131</v>
      </c>
    </row>
    <row r="81" spans="1:11" x14ac:dyDescent="0.2">
      <c r="A81" s="8" t="s">
        <v>328</v>
      </c>
      <c r="B81" s="5" t="s">
        <v>1220</v>
      </c>
      <c r="C81" s="15">
        <v>15.99</v>
      </c>
      <c r="D81" s="15">
        <v>15.99</v>
      </c>
      <c r="E81" s="5">
        <f>IF('Notes &amp; Assumptions'!$C$4="Regular",D81,C81)</f>
        <v>15.99</v>
      </c>
      <c r="F81" s="15">
        <v>1</v>
      </c>
      <c r="G81" s="5" t="s">
        <v>1135</v>
      </c>
      <c r="H81" s="5">
        <f t="shared" si="2"/>
        <v>15.99</v>
      </c>
      <c r="I81" s="5" t="str">
        <f t="shared" si="3"/>
        <v/>
      </c>
      <c r="J81" s="5"/>
      <c r="K81" s="7" t="s">
        <v>1131</v>
      </c>
    </row>
    <row r="82" spans="1:11" x14ac:dyDescent="0.2">
      <c r="A82" s="8" t="s">
        <v>698</v>
      </c>
      <c r="B82" s="5" t="s">
        <v>1221</v>
      </c>
      <c r="C82" s="15">
        <v>59.99</v>
      </c>
      <c r="D82" s="15">
        <v>59.99</v>
      </c>
      <c r="E82" s="5">
        <f>IF('Notes &amp; Assumptions'!$C$4="Regular",D82,C82)</f>
        <v>59.99</v>
      </c>
      <c r="F82" s="15">
        <v>750</v>
      </c>
      <c r="G82" s="5" t="s">
        <v>1130</v>
      </c>
      <c r="H82" s="5">
        <f t="shared" si="2"/>
        <v>7.9986666666666664E-2</v>
      </c>
      <c r="I82" s="5" t="str">
        <f t="shared" si="3"/>
        <v/>
      </c>
      <c r="J82" s="5"/>
      <c r="K82" s="7" t="s">
        <v>1131</v>
      </c>
    </row>
    <row r="83" spans="1:11" x14ac:dyDescent="0.2">
      <c r="A83" s="8" t="s">
        <v>927</v>
      </c>
      <c r="B83" s="5" t="s">
        <v>1222</v>
      </c>
      <c r="C83" s="15">
        <v>179.99</v>
      </c>
      <c r="D83" s="15">
        <v>179.99</v>
      </c>
      <c r="E83" s="5">
        <f>IF('Notes &amp; Assumptions'!$C$4="Regular",D83,C83)</f>
        <v>179.99</v>
      </c>
      <c r="F83" s="15">
        <v>500</v>
      </c>
      <c r="G83" s="5" t="s">
        <v>1130</v>
      </c>
      <c r="H83" s="5">
        <f t="shared" si="2"/>
        <v>0.35998000000000002</v>
      </c>
      <c r="I83" s="5" t="str">
        <f t="shared" si="3"/>
        <v/>
      </c>
      <c r="J83" s="5"/>
      <c r="K83" s="7" t="s">
        <v>1131</v>
      </c>
    </row>
    <row r="84" spans="1:11" x14ac:dyDescent="0.2">
      <c r="A84" s="8" t="s">
        <v>530</v>
      </c>
      <c r="B84" s="5" t="s">
        <v>1223</v>
      </c>
      <c r="C84" s="15">
        <v>49.99</v>
      </c>
      <c r="D84" s="15">
        <v>49.99</v>
      </c>
      <c r="E84" s="5">
        <f>IF('Notes &amp; Assumptions'!$C$4="Regular",D84,C84)</f>
        <v>49.99</v>
      </c>
      <c r="F84" s="15">
        <v>500</v>
      </c>
      <c r="G84" s="5" t="s">
        <v>1130</v>
      </c>
      <c r="H84" s="5">
        <f t="shared" si="2"/>
        <v>9.9979999999999999E-2</v>
      </c>
      <c r="I84" s="5" t="str">
        <f t="shared" si="3"/>
        <v/>
      </c>
      <c r="J84" s="5"/>
      <c r="K84" s="7" t="s">
        <v>1131</v>
      </c>
    </row>
    <row r="85" spans="1:11" x14ac:dyDescent="0.2">
      <c r="A85" s="8" t="s">
        <v>332</v>
      </c>
      <c r="B85" s="5" t="s">
        <v>1224</v>
      </c>
      <c r="C85" s="15">
        <v>67.989999999999995</v>
      </c>
      <c r="D85" s="15">
        <v>67.989999999999995</v>
      </c>
      <c r="E85" s="5">
        <f>IF('Notes &amp; Assumptions'!$C$4="Regular",D85,C85)</f>
        <v>67.989999999999995</v>
      </c>
      <c r="F85" s="15">
        <v>500</v>
      </c>
      <c r="G85" s="5" t="s">
        <v>1130</v>
      </c>
      <c r="H85" s="5">
        <f t="shared" si="2"/>
        <v>0.13597999999999999</v>
      </c>
      <c r="I85" s="5" t="str">
        <f t="shared" si="3"/>
        <v/>
      </c>
      <c r="J85" s="5"/>
      <c r="K85" s="7" t="s">
        <v>1131</v>
      </c>
    </row>
    <row r="86" spans="1:11" x14ac:dyDescent="0.2">
      <c r="A86" s="8" t="s">
        <v>308</v>
      </c>
      <c r="B86" s="5" t="s">
        <v>1225</v>
      </c>
      <c r="C86" s="15">
        <v>42.99</v>
      </c>
      <c r="D86" s="15">
        <v>42.99</v>
      </c>
      <c r="E86" s="5">
        <f>IF('Notes &amp; Assumptions'!$C$4="Regular",D86,C86)</f>
        <v>42.99</v>
      </c>
      <c r="F86" s="15">
        <v>1</v>
      </c>
      <c r="G86" s="5" t="s">
        <v>1135</v>
      </c>
      <c r="H86" s="5">
        <f t="shared" si="2"/>
        <v>42.99</v>
      </c>
      <c r="I86" s="5" t="str">
        <f t="shared" si="3"/>
        <v/>
      </c>
      <c r="J86" s="5" t="s">
        <v>616</v>
      </c>
      <c r="K86" s="7" t="s">
        <v>1131</v>
      </c>
    </row>
    <row r="87" spans="1:11" x14ac:dyDescent="0.2">
      <c r="A87" s="8" t="s">
        <v>995</v>
      </c>
      <c r="B87" s="5" t="s">
        <v>1226</v>
      </c>
      <c r="C87" s="15">
        <v>42.99</v>
      </c>
      <c r="D87" s="15">
        <v>42.99</v>
      </c>
      <c r="E87" s="5">
        <f>IF('Notes &amp; Assumptions'!$C$4="Regular",D87,C87)</f>
        <v>42.99</v>
      </c>
      <c r="F87" s="15">
        <v>6</v>
      </c>
      <c r="G87" s="5" t="s">
        <v>1135</v>
      </c>
      <c r="H87" s="5">
        <f t="shared" si="2"/>
        <v>7.165</v>
      </c>
      <c r="I87" s="5" t="str">
        <f t="shared" si="3"/>
        <v/>
      </c>
      <c r="J87" s="5"/>
      <c r="K87" s="7" t="s">
        <v>1131</v>
      </c>
    </row>
    <row r="88" spans="1:11" x14ac:dyDescent="0.2">
      <c r="A88" s="8" t="s">
        <v>960</v>
      </c>
      <c r="B88" s="5" t="s">
        <v>1227</v>
      </c>
      <c r="C88" s="15">
        <v>39.99</v>
      </c>
      <c r="D88" s="15">
        <v>39.99</v>
      </c>
      <c r="E88" s="5">
        <f>IF('Notes &amp; Assumptions'!$C$4="Regular",D88,C88)</f>
        <v>39.99</v>
      </c>
      <c r="F88" s="15">
        <v>1</v>
      </c>
      <c r="G88" s="5" t="s">
        <v>1135</v>
      </c>
      <c r="H88" s="5">
        <f t="shared" si="2"/>
        <v>39.99</v>
      </c>
      <c r="I88" s="5" t="str">
        <f t="shared" si="3"/>
        <v/>
      </c>
      <c r="J88" s="5"/>
      <c r="K88" s="7" t="s">
        <v>1131</v>
      </c>
    </row>
    <row r="89" spans="1:11" x14ac:dyDescent="0.2">
      <c r="A89" s="8" t="s">
        <v>538</v>
      </c>
      <c r="B89" s="5" t="s">
        <v>1228</v>
      </c>
      <c r="C89" s="15">
        <v>44.99</v>
      </c>
      <c r="D89" s="15">
        <v>44.99</v>
      </c>
      <c r="E89" s="5">
        <f>IF('Notes &amp; Assumptions'!$C$4="Regular",D89,C89)</f>
        <v>44.99</v>
      </c>
      <c r="F89" s="15">
        <v>1</v>
      </c>
      <c r="G89" s="5" t="s">
        <v>1135</v>
      </c>
      <c r="H89" s="5">
        <f t="shared" si="2"/>
        <v>44.99</v>
      </c>
      <c r="I89" s="5" t="str">
        <f t="shared" si="3"/>
        <v/>
      </c>
      <c r="J89" s="5"/>
      <c r="K89" s="7" t="s">
        <v>1131</v>
      </c>
    </row>
    <row r="90" spans="1:11" x14ac:dyDescent="0.2">
      <c r="A90" s="8" t="s">
        <v>737</v>
      </c>
      <c r="B90" s="5" t="s">
        <v>1229</v>
      </c>
      <c r="C90" s="15">
        <v>71.989999999999995</v>
      </c>
      <c r="D90" s="15">
        <v>71.989999999999995</v>
      </c>
      <c r="E90" s="5">
        <f>IF('Notes &amp; Assumptions'!$C$4="Regular",D90,C90)</f>
        <v>71.989999999999995</v>
      </c>
      <c r="F90" s="15">
        <v>250</v>
      </c>
      <c r="G90" s="5" t="s">
        <v>1130</v>
      </c>
      <c r="H90" s="5">
        <f t="shared" si="2"/>
        <v>0.28795999999999999</v>
      </c>
      <c r="I90" s="5" t="str">
        <f t="shared" si="3"/>
        <v/>
      </c>
      <c r="J90" s="5"/>
      <c r="K90" s="7" t="s">
        <v>1131</v>
      </c>
    </row>
    <row r="91" spans="1:11" x14ac:dyDescent="0.2">
      <c r="A91" s="8" t="s">
        <v>882</v>
      </c>
      <c r="B91" s="5" t="s">
        <v>1230</v>
      </c>
      <c r="C91" s="15">
        <v>39.99</v>
      </c>
      <c r="D91" s="15">
        <v>39.99</v>
      </c>
      <c r="E91" s="5">
        <f>IF('Notes &amp; Assumptions'!$C$4="Regular",D91,C91)</f>
        <v>39.99</v>
      </c>
      <c r="F91" s="15">
        <v>60</v>
      </c>
      <c r="G91" s="5" t="s">
        <v>1130</v>
      </c>
      <c r="H91" s="5">
        <f t="shared" si="2"/>
        <v>0.66649999999999998</v>
      </c>
      <c r="I91" s="5" t="str">
        <f t="shared" si="3"/>
        <v/>
      </c>
      <c r="J91" s="5"/>
      <c r="K91" s="7" t="s">
        <v>1131</v>
      </c>
    </row>
    <row r="92" spans="1:11" x14ac:dyDescent="0.2">
      <c r="A92" s="8" t="s">
        <v>1083</v>
      </c>
      <c r="B92" s="5" t="s">
        <v>1231</v>
      </c>
      <c r="C92" s="15">
        <v>34.99</v>
      </c>
      <c r="D92" s="15">
        <v>34.99</v>
      </c>
      <c r="E92" s="5">
        <f>IF('Notes &amp; Assumptions'!$C$4="Regular",D92,C92)</f>
        <v>34.99</v>
      </c>
      <c r="F92" s="15">
        <v>6</v>
      </c>
      <c r="G92" s="5" t="s">
        <v>1135</v>
      </c>
      <c r="H92" s="5">
        <f t="shared" si="2"/>
        <v>5.831666666666667</v>
      </c>
      <c r="I92" s="5" t="str">
        <f t="shared" si="3"/>
        <v/>
      </c>
      <c r="J92" s="5"/>
      <c r="K92" s="7" t="s">
        <v>1131</v>
      </c>
    </row>
    <row r="93" spans="1:11" x14ac:dyDescent="0.2">
      <c r="A93" s="27" t="s">
        <v>625</v>
      </c>
      <c r="B93" s="20" t="s">
        <v>1232</v>
      </c>
      <c r="C93" s="19">
        <v>51.99</v>
      </c>
      <c r="D93" s="19">
        <v>61.99</v>
      </c>
      <c r="E93" s="20">
        <f>IF('Notes &amp; Assumptions'!$C$4="Regular",D93,C93)</f>
        <v>51.99</v>
      </c>
      <c r="F93" s="19">
        <v>235</v>
      </c>
      <c r="G93" s="20" t="s">
        <v>1130</v>
      </c>
      <c r="H93" s="20">
        <f t="shared" si="2"/>
        <v>0.22123404255319148</v>
      </c>
      <c r="I93" s="20" t="str">
        <f t="shared" si="3"/>
        <v>Yes</v>
      </c>
      <c r="J93" s="20" t="s">
        <v>1233</v>
      </c>
      <c r="K93" s="28" t="s">
        <v>1131</v>
      </c>
    </row>
    <row r="94" spans="1:11" x14ac:dyDescent="0.2">
      <c r="A94" s="8" t="s">
        <v>733</v>
      </c>
      <c r="B94" s="5" t="s">
        <v>1234</v>
      </c>
      <c r="C94" s="15">
        <v>27.99</v>
      </c>
      <c r="D94" s="15">
        <v>27.99</v>
      </c>
      <c r="E94" s="5">
        <f>IF('Notes &amp; Assumptions'!$C$4="Regular",D94,C94)</f>
        <v>27.99</v>
      </c>
      <c r="F94" s="15">
        <v>4</v>
      </c>
      <c r="G94" s="5" t="s">
        <v>1135</v>
      </c>
      <c r="H94" s="5">
        <f t="shared" si="2"/>
        <v>6.9974999999999996</v>
      </c>
      <c r="I94" s="5" t="str">
        <f t="shared" si="3"/>
        <v/>
      </c>
      <c r="J94" s="5"/>
      <c r="K94" s="7" t="s">
        <v>1131</v>
      </c>
    </row>
    <row r="95" spans="1:11" x14ac:dyDescent="0.2">
      <c r="A95" s="8" t="s">
        <v>374</v>
      </c>
      <c r="B95" s="5" t="s">
        <v>1235</v>
      </c>
      <c r="C95" s="15">
        <v>28.99</v>
      </c>
      <c r="D95" s="15">
        <v>28.99</v>
      </c>
      <c r="E95" s="5">
        <f>IF('Notes &amp; Assumptions'!$C$4="Regular",D95,C95)</f>
        <v>28.99</v>
      </c>
      <c r="F95" s="15">
        <v>4</v>
      </c>
      <c r="G95" s="5" t="s">
        <v>1135</v>
      </c>
      <c r="H95" s="5">
        <f t="shared" si="2"/>
        <v>7.2474999999999996</v>
      </c>
      <c r="I95" s="5" t="str">
        <f t="shared" si="3"/>
        <v/>
      </c>
      <c r="J95" s="5"/>
      <c r="K95" s="7" t="s">
        <v>1131</v>
      </c>
    </row>
    <row r="96" spans="1:11" x14ac:dyDescent="0.2">
      <c r="A96" s="8" t="s">
        <v>509</v>
      </c>
      <c r="B96" s="5" t="s">
        <v>1236</v>
      </c>
      <c r="C96" s="15">
        <v>74.989999999999995</v>
      </c>
      <c r="D96" s="15">
        <v>74.989999999999995</v>
      </c>
      <c r="E96" s="5">
        <f>IF('Notes &amp; Assumptions'!$C$4="Regular",D96,C96)</f>
        <v>74.989999999999995</v>
      </c>
      <c r="F96" s="15">
        <v>250</v>
      </c>
      <c r="G96" s="5" t="s">
        <v>1130</v>
      </c>
      <c r="H96" s="5">
        <f t="shared" si="2"/>
        <v>0.29996</v>
      </c>
      <c r="I96" s="5" t="str">
        <f t="shared" si="3"/>
        <v/>
      </c>
      <c r="J96" s="5"/>
      <c r="K96" s="7" t="s">
        <v>1131</v>
      </c>
    </row>
    <row r="97" spans="1:11" x14ac:dyDescent="0.2">
      <c r="A97" s="8" t="s">
        <v>932</v>
      </c>
      <c r="B97" s="5" t="s">
        <v>1237</v>
      </c>
      <c r="C97" s="15">
        <v>74.989999999999995</v>
      </c>
      <c r="D97" s="15">
        <v>74.989999999999995</v>
      </c>
      <c r="E97" s="5">
        <f>IF('Notes &amp; Assumptions'!$C$4="Regular",D97,C97)</f>
        <v>74.989999999999995</v>
      </c>
      <c r="F97" s="15">
        <v>250</v>
      </c>
      <c r="G97" s="5" t="s">
        <v>1130</v>
      </c>
      <c r="H97" s="5">
        <f t="shared" si="2"/>
        <v>0.29996</v>
      </c>
      <c r="I97" s="5" t="str">
        <f t="shared" si="3"/>
        <v/>
      </c>
      <c r="J97" s="5"/>
      <c r="K97" s="7" t="s">
        <v>1131</v>
      </c>
    </row>
    <row r="98" spans="1:11" x14ac:dyDescent="0.2">
      <c r="A98" s="8" t="s">
        <v>791</v>
      </c>
      <c r="B98" s="5" t="s">
        <v>1238</v>
      </c>
      <c r="C98" s="15">
        <v>59.99</v>
      </c>
      <c r="D98" s="15">
        <v>59.99</v>
      </c>
      <c r="E98" s="5">
        <f>IF('Notes &amp; Assumptions'!$C$4="Regular",D98,C98)</f>
        <v>59.99</v>
      </c>
      <c r="F98" s="15">
        <v>55</v>
      </c>
      <c r="G98" s="5" t="s">
        <v>1130</v>
      </c>
      <c r="H98" s="5">
        <f t="shared" si="2"/>
        <v>1.0907272727272728</v>
      </c>
      <c r="I98" s="5" t="str">
        <f t="shared" si="3"/>
        <v/>
      </c>
      <c r="J98" s="5"/>
      <c r="K98" s="7" t="s">
        <v>1131</v>
      </c>
    </row>
    <row r="99" spans="1:11" x14ac:dyDescent="0.2">
      <c r="A99" s="8" t="s">
        <v>820</v>
      </c>
      <c r="B99" s="5" t="s">
        <v>1239</v>
      </c>
      <c r="C99" s="15">
        <v>34.99</v>
      </c>
      <c r="D99" s="15">
        <v>34.99</v>
      </c>
      <c r="E99" s="5">
        <f>IF('Notes &amp; Assumptions'!$C$4="Regular",D99,C99)</f>
        <v>34.99</v>
      </c>
      <c r="F99" s="15">
        <v>50</v>
      </c>
      <c r="G99" s="5" t="s">
        <v>1130</v>
      </c>
      <c r="H99" s="5">
        <f t="shared" si="2"/>
        <v>0.69980000000000009</v>
      </c>
      <c r="I99" s="5" t="str">
        <f t="shared" si="3"/>
        <v/>
      </c>
      <c r="J99" s="5"/>
      <c r="K99" s="7" t="s">
        <v>1131</v>
      </c>
    </row>
    <row r="100" spans="1:11" x14ac:dyDescent="0.2">
      <c r="A100" s="8" t="s">
        <v>371</v>
      </c>
      <c r="B100" s="5" t="s">
        <v>1240</v>
      </c>
      <c r="C100" s="15">
        <v>64.989999999999995</v>
      </c>
      <c r="D100" s="15">
        <v>64.989999999999995</v>
      </c>
      <c r="E100" s="5">
        <f>IF('Notes &amp; Assumptions'!$C$4="Regular",D100,C100)</f>
        <v>64.989999999999995</v>
      </c>
      <c r="F100" s="15">
        <v>500</v>
      </c>
      <c r="G100" s="5" t="s">
        <v>1130</v>
      </c>
      <c r="H100" s="5">
        <f t="shared" si="2"/>
        <v>0.12997999999999998</v>
      </c>
      <c r="I100" s="5" t="str">
        <f t="shared" si="3"/>
        <v/>
      </c>
      <c r="J100" s="5"/>
      <c r="K100" s="7" t="s">
        <v>1131</v>
      </c>
    </row>
    <row r="101" spans="1:11" x14ac:dyDescent="0.2">
      <c r="A101" s="8" t="s">
        <v>412</v>
      </c>
      <c r="B101" s="5" t="s">
        <v>1241</v>
      </c>
      <c r="C101" s="15">
        <v>27.99</v>
      </c>
      <c r="D101" s="15">
        <v>27.99</v>
      </c>
      <c r="E101" s="5">
        <f>IF('Notes &amp; Assumptions'!$C$4="Regular",D101,C101)</f>
        <v>27.99</v>
      </c>
      <c r="F101" s="15">
        <v>20</v>
      </c>
      <c r="G101" s="5" t="s">
        <v>1242</v>
      </c>
      <c r="H101" s="5">
        <f t="shared" si="2"/>
        <v>1.3995</v>
      </c>
      <c r="I101" s="5" t="str">
        <f t="shared" si="3"/>
        <v/>
      </c>
      <c r="J101" s="5" t="s">
        <v>1243</v>
      </c>
      <c r="K101" s="7" t="s">
        <v>1131</v>
      </c>
    </row>
    <row r="102" spans="1:11" x14ac:dyDescent="0.2">
      <c r="A102" s="8" t="s">
        <v>941</v>
      </c>
      <c r="B102" s="5" t="s">
        <v>1244</v>
      </c>
      <c r="C102" s="15">
        <v>15.99</v>
      </c>
      <c r="D102" s="15">
        <v>15.99</v>
      </c>
      <c r="E102" s="5">
        <f>IF('Notes &amp; Assumptions'!$C$4="Regular",D102,C102)</f>
        <v>15.99</v>
      </c>
      <c r="F102" s="15">
        <v>8</v>
      </c>
      <c r="G102" s="5" t="s">
        <v>1135</v>
      </c>
      <c r="H102" s="5">
        <f t="shared" si="2"/>
        <v>1.99875</v>
      </c>
      <c r="I102" s="5" t="str">
        <f t="shared" si="3"/>
        <v/>
      </c>
      <c r="J102" s="5" t="s">
        <v>942</v>
      </c>
      <c r="K102" s="7" t="s">
        <v>1131</v>
      </c>
    </row>
    <row r="103" spans="1:11" x14ac:dyDescent="0.2">
      <c r="A103" s="8" t="s">
        <v>692</v>
      </c>
      <c r="B103" s="5" t="s">
        <v>1245</v>
      </c>
      <c r="C103" s="15">
        <v>69.989999999999995</v>
      </c>
      <c r="D103" s="15">
        <v>69.989999999999995</v>
      </c>
      <c r="E103" s="5">
        <f>IF('Notes &amp; Assumptions'!$C$4="Regular",D103,C103)</f>
        <v>69.989999999999995</v>
      </c>
      <c r="F103" s="15">
        <v>750</v>
      </c>
      <c r="G103" s="5" t="s">
        <v>1133</v>
      </c>
      <c r="H103" s="5">
        <f t="shared" si="2"/>
        <v>9.3319999999999986E-2</v>
      </c>
      <c r="I103" s="5" t="str">
        <f t="shared" si="3"/>
        <v/>
      </c>
      <c r="J103" s="5"/>
      <c r="K103" s="7" t="s">
        <v>1131</v>
      </c>
    </row>
    <row r="104" spans="1:11" x14ac:dyDescent="0.2">
      <c r="A104" s="8" t="s">
        <v>568</v>
      </c>
      <c r="B104" s="5" t="s">
        <v>1246</v>
      </c>
      <c r="C104" s="15">
        <v>69.989999999999995</v>
      </c>
      <c r="D104" s="15">
        <v>69.989999999999995</v>
      </c>
      <c r="E104" s="5">
        <f>IF('Notes &amp; Assumptions'!$C$4="Regular",D104,C104)</f>
        <v>69.989999999999995</v>
      </c>
      <c r="F104" s="15">
        <v>750</v>
      </c>
      <c r="G104" s="5" t="s">
        <v>1133</v>
      </c>
      <c r="H104" s="5">
        <f t="shared" si="2"/>
        <v>9.3319999999999986E-2</v>
      </c>
      <c r="I104" s="5" t="str">
        <f t="shared" si="3"/>
        <v/>
      </c>
      <c r="J104" s="5"/>
      <c r="K104" s="7" t="s">
        <v>1131</v>
      </c>
    </row>
    <row r="105" spans="1:11" x14ac:dyDescent="0.2">
      <c r="A105" s="8" t="s">
        <v>390</v>
      </c>
      <c r="B105" s="5" t="s">
        <v>1247</v>
      </c>
      <c r="C105" s="15">
        <v>25.99</v>
      </c>
      <c r="D105" s="15">
        <v>25.99</v>
      </c>
      <c r="E105" s="5">
        <f>IF('Notes &amp; Assumptions'!$C$4="Regular",D105,C105)</f>
        <v>25.99</v>
      </c>
      <c r="F105" s="15">
        <v>10</v>
      </c>
      <c r="G105" s="5" t="s">
        <v>1130</v>
      </c>
      <c r="H105" s="5">
        <f t="shared" si="2"/>
        <v>2.5989999999999998</v>
      </c>
      <c r="I105" s="5" t="str">
        <f t="shared" si="3"/>
        <v/>
      </c>
      <c r="J105" s="5"/>
      <c r="K105" s="7" t="s">
        <v>1131</v>
      </c>
    </row>
    <row r="106" spans="1:11" x14ac:dyDescent="0.2">
      <c r="A106" s="8" t="s">
        <v>677</v>
      </c>
      <c r="B106" s="5" t="s">
        <v>1248</v>
      </c>
      <c r="C106" s="15">
        <v>39.99</v>
      </c>
      <c r="D106" s="15">
        <v>39.99</v>
      </c>
      <c r="E106" s="5">
        <f>IF('Notes &amp; Assumptions'!$C$4="Regular",D106,C106)</f>
        <v>39.99</v>
      </c>
      <c r="F106" s="15">
        <v>660</v>
      </c>
      <c r="G106" s="5" t="s">
        <v>1133</v>
      </c>
      <c r="H106" s="5">
        <f t="shared" si="2"/>
        <v>6.0590909090909091E-2</v>
      </c>
      <c r="I106" s="5" t="str">
        <f t="shared" si="3"/>
        <v/>
      </c>
      <c r="J106" s="5"/>
      <c r="K106" s="7" t="s">
        <v>1131</v>
      </c>
    </row>
    <row r="107" spans="1:11" x14ac:dyDescent="0.2">
      <c r="A107" s="8" t="s">
        <v>785</v>
      </c>
      <c r="B107" s="5" t="s">
        <v>1249</v>
      </c>
      <c r="C107" s="15">
        <v>39.99</v>
      </c>
      <c r="D107" s="15">
        <v>47.99</v>
      </c>
      <c r="E107" s="5">
        <f>IF('Notes &amp; Assumptions'!$C$4="Regular",D107,C107)</f>
        <v>39.99</v>
      </c>
      <c r="F107" s="15">
        <v>1000</v>
      </c>
      <c r="G107" s="5" t="s">
        <v>1130</v>
      </c>
      <c r="H107" s="5">
        <f t="shared" si="2"/>
        <v>3.9990000000000005E-2</v>
      </c>
      <c r="I107" s="5" t="str">
        <f t="shared" si="3"/>
        <v>Yes</v>
      </c>
      <c r="J107" s="5"/>
      <c r="K107" s="7" t="s">
        <v>1131</v>
      </c>
    </row>
    <row r="108" spans="1:11" x14ac:dyDescent="0.2">
      <c r="A108" s="8" t="s">
        <v>707</v>
      </c>
      <c r="B108" s="5" t="s">
        <v>1250</v>
      </c>
      <c r="C108" s="15">
        <v>67.989999999999995</v>
      </c>
      <c r="D108" s="15">
        <v>67.989999999999995</v>
      </c>
      <c r="E108" s="5">
        <f>IF('Notes &amp; Assumptions'!$C$4="Regular",D108,C108)</f>
        <v>67.989999999999995</v>
      </c>
      <c r="F108" s="15">
        <v>500</v>
      </c>
      <c r="G108" s="5" t="s">
        <v>1130</v>
      </c>
      <c r="H108" s="5">
        <f t="shared" si="2"/>
        <v>0.13597999999999999</v>
      </c>
      <c r="I108" s="5" t="str">
        <f t="shared" si="3"/>
        <v/>
      </c>
      <c r="J108" s="5"/>
      <c r="K108" s="7" t="s">
        <v>1131</v>
      </c>
    </row>
    <row r="109" spans="1:11" x14ac:dyDescent="0.2">
      <c r="A109" s="8" t="s">
        <v>709</v>
      </c>
      <c r="B109" s="5" t="s">
        <v>1251</v>
      </c>
      <c r="C109" s="15">
        <v>58.99</v>
      </c>
      <c r="D109" s="15">
        <v>58.99</v>
      </c>
      <c r="E109" s="5">
        <f>IF('Notes &amp; Assumptions'!$C$4="Regular",D109,C109)</f>
        <v>58.99</v>
      </c>
      <c r="F109" s="15">
        <v>500</v>
      </c>
      <c r="G109" s="5" t="s">
        <v>1130</v>
      </c>
      <c r="H109" s="5">
        <f t="shared" si="2"/>
        <v>0.11798</v>
      </c>
      <c r="I109" s="5" t="str">
        <f t="shared" si="3"/>
        <v/>
      </c>
      <c r="J109" s="5"/>
      <c r="K109" s="7" t="s">
        <v>1131</v>
      </c>
    </row>
    <row r="110" spans="1:11" x14ac:dyDescent="0.2">
      <c r="A110" s="8" t="s">
        <v>452</v>
      </c>
      <c r="B110" s="5" t="s">
        <v>1252</v>
      </c>
      <c r="C110" s="15">
        <v>114.99</v>
      </c>
      <c r="D110" s="15">
        <v>114.99</v>
      </c>
      <c r="E110" s="5">
        <f>IF('Notes &amp; Assumptions'!$C$4="Regular",D110,C110)</f>
        <v>114.99</v>
      </c>
      <c r="F110" s="15">
        <v>150</v>
      </c>
      <c r="G110" s="5" t="s">
        <v>1133</v>
      </c>
      <c r="H110" s="5">
        <f t="shared" si="2"/>
        <v>0.76659999999999995</v>
      </c>
      <c r="I110" s="5" t="str">
        <f t="shared" si="3"/>
        <v/>
      </c>
      <c r="J110" s="5"/>
      <c r="K110" s="7" t="s">
        <v>1131</v>
      </c>
    </row>
    <row r="111" spans="1:11" x14ac:dyDescent="0.2">
      <c r="A111" s="8" t="s">
        <v>829</v>
      </c>
      <c r="B111" s="5" t="s">
        <v>1253</v>
      </c>
      <c r="C111" s="15">
        <v>23.99</v>
      </c>
      <c r="D111" s="15">
        <v>23.99</v>
      </c>
      <c r="E111" s="5">
        <f>IF('Notes &amp; Assumptions'!$C$4="Regular",D111,C111)</f>
        <v>23.99</v>
      </c>
      <c r="F111" s="15">
        <v>1</v>
      </c>
      <c r="G111" s="5" t="s">
        <v>1135</v>
      </c>
      <c r="H111" s="5">
        <f t="shared" si="2"/>
        <v>23.99</v>
      </c>
      <c r="I111" s="5" t="str">
        <f t="shared" si="3"/>
        <v/>
      </c>
      <c r="J111" s="5"/>
      <c r="K111" s="7" t="s">
        <v>1131</v>
      </c>
    </row>
    <row r="112" spans="1:11" x14ac:dyDescent="0.2">
      <c r="A112" s="8" t="s">
        <v>489</v>
      </c>
      <c r="B112" s="5" t="s">
        <v>1254</v>
      </c>
      <c r="C112" s="15">
        <v>48.99</v>
      </c>
      <c r="D112" s="15">
        <v>48.99</v>
      </c>
      <c r="E112" s="5">
        <f>IF('Notes &amp; Assumptions'!$C$4="Regular",D112,C112)</f>
        <v>48.99</v>
      </c>
      <c r="F112" s="15">
        <v>2000</v>
      </c>
      <c r="G112" s="5" t="s">
        <v>1130</v>
      </c>
      <c r="H112" s="5">
        <f t="shared" si="2"/>
        <v>2.4494999999999999E-2</v>
      </c>
      <c r="I112" s="5" t="str">
        <f t="shared" si="3"/>
        <v/>
      </c>
      <c r="J112" s="5" t="s">
        <v>613</v>
      </c>
      <c r="K112" s="7" t="s">
        <v>1131</v>
      </c>
    </row>
    <row r="113" spans="1:11" x14ac:dyDescent="0.2">
      <c r="A113" s="8" t="s">
        <v>323</v>
      </c>
      <c r="B113" s="5" t="s">
        <v>1255</v>
      </c>
      <c r="C113" s="15">
        <v>27.99</v>
      </c>
      <c r="D113" s="15">
        <v>27.99</v>
      </c>
      <c r="E113" s="5">
        <f>IF('Notes &amp; Assumptions'!$C$4="Regular",D113,C113)</f>
        <v>27.99</v>
      </c>
      <c r="F113" s="15">
        <v>3</v>
      </c>
      <c r="G113" s="5" t="s">
        <v>1135</v>
      </c>
      <c r="H113" s="5">
        <f t="shared" si="2"/>
        <v>9.33</v>
      </c>
      <c r="I113" s="5" t="str">
        <f t="shared" si="3"/>
        <v/>
      </c>
      <c r="J113" s="5"/>
      <c r="K113" s="7" t="s">
        <v>1131</v>
      </c>
    </row>
    <row r="114" spans="1:11" x14ac:dyDescent="0.2">
      <c r="A114" s="8" t="s">
        <v>1073</v>
      </c>
      <c r="B114" s="5" t="s">
        <v>1256</v>
      </c>
      <c r="C114" s="15">
        <v>28.99</v>
      </c>
      <c r="D114" s="15">
        <v>28.99</v>
      </c>
      <c r="E114" s="5">
        <f>IF('Notes &amp; Assumptions'!$C$4="Regular",D114,C114)</f>
        <v>28.99</v>
      </c>
      <c r="F114" s="15">
        <v>1</v>
      </c>
      <c r="G114" s="5" t="s">
        <v>1135</v>
      </c>
      <c r="H114" s="5">
        <f t="shared" si="2"/>
        <v>28.99</v>
      </c>
      <c r="I114" s="5" t="str">
        <f t="shared" si="3"/>
        <v/>
      </c>
      <c r="J114" s="5"/>
      <c r="K114" s="7" t="s">
        <v>1131</v>
      </c>
    </row>
    <row r="115" spans="1:11" x14ac:dyDescent="0.2">
      <c r="A115" s="8" t="s">
        <v>721</v>
      </c>
      <c r="B115" s="5" t="s">
        <v>1257</v>
      </c>
      <c r="C115" s="15">
        <v>35.99</v>
      </c>
      <c r="D115" s="15">
        <v>35.99</v>
      </c>
      <c r="E115" s="5">
        <f>IF('Notes &amp; Assumptions'!$C$4="Regular",D115,C115)</f>
        <v>35.99</v>
      </c>
      <c r="F115" s="15">
        <v>1000</v>
      </c>
      <c r="G115" s="5" t="s">
        <v>1130</v>
      </c>
      <c r="H115" s="5">
        <f t="shared" si="2"/>
        <v>3.5990000000000001E-2</v>
      </c>
      <c r="I115" s="5" t="str">
        <f t="shared" si="3"/>
        <v/>
      </c>
      <c r="J115" s="5"/>
      <c r="K115" s="7" t="s">
        <v>1131</v>
      </c>
    </row>
    <row r="116" spans="1:11" x14ac:dyDescent="0.2">
      <c r="A116" s="8" t="s">
        <v>528</v>
      </c>
      <c r="B116" s="5" t="s">
        <v>1258</v>
      </c>
      <c r="C116" s="15">
        <v>28.99</v>
      </c>
      <c r="D116" s="15">
        <v>28.99</v>
      </c>
      <c r="E116" s="5">
        <f>IF('Notes &amp; Assumptions'!$C$4="Regular",D116,C116)</f>
        <v>28.99</v>
      </c>
      <c r="F116" s="15">
        <v>1</v>
      </c>
      <c r="G116" s="5" t="s">
        <v>1135</v>
      </c>
      <c r="H116" s="5">
        <f t="shared" si="2"/>
        <v>28.99</v>
      </c>
      <c r="I116" s="5" t="str">
        <f t="shared" si="3"/>
        <v/>
      </c>
      <c r="J116" s="5"/>
      <c r="K116" s="7" t="s">
        <v>1131</v>
      </c>
    </row>
    <row r="117" spans="1:11" x14ac:dyDescent="0.2">
      <c r="A117" s="8" t="s">
        <v>388</v>
      </c>
      <c r="B117" s="5" t="s">
        <v>1259</v>
      </c>
      <c r="C117" s="15">
        <v>22.99</v>
      </c>
      <c r="D117" s="15">
        <v>22.99</v>
      </c>
      <c r="E117" s="5">
        <f>IF('Notes &amp; Assumptions'!$C$4="Regular",D117,C117)</f>
        <v>22.99</v>
      </c>
      <c r="F117" s="15">
        <v>1000</v>
      </c>
      <c r="G117" s="5" t="s">
        <v>1133</v>
      </c>
      <c r="H117" s="5">
        <f t="shared" si="2"/>
        <v>2.299E-2</v>
      </c>
      <c r="I117" s="5" t="str">
        <f t="shared" si="3"/>
        <v/>
      </c>
      <c r="J117" s="5"/>
      <c r="K117" s="7" t="s">
        <v>1131</v>
      </c>
    </row>
    <row r="118" spans="1:11" x14ac:dyDescent="0.2">
      <c r="A118" s="8" t="s">
        <v>611</v>
      </c>
      <c r="B118" s="5" t="s">
        <v>1260</v>
      </c>
      <c r="C118" s="15">
        <v>22.99</v>
      </c>
      <c r="D118" s="15">
        <v>22.99</v>
      </c>
      <c r="E118" s="5">
        <f>IF('Notes &amp; Assumptions'!$C$4="Regular",D118,C118)</f>
        <v>22.99</v>
      </c>
      <c r="F118" s="15">
        <v>1000</v>
      </c>
      <c r="G118" s="5" t="s">
        <v>1133</v>
      </c>
      <c r="H118" s="5">
        <f t="shared" si="2"/>
        <v>2.299E-2</v>
      </c>
      <c r="I118" s="5" t="str">
        <f t="shared" si="3"/>
        <v/>
      </c>
      <c r="J118" s="5"/>
      <c r="K118" s="7" t="s">
        <v>1131</v>
      </c>
    </row>
    <row r="119" spans="1:11" x14ac:dyDescent="0.2">
      <c r="A119" s="8" t="s">
        <v>1117</v>
      </c>
      <c r="B119" s="5" t="s">
        <v>1261</v>
      </c>
      <c r="C119" s="15">
        <v>32.99</v>
      </c>
      <c r="D119" s="15">
        <v>32.99</v>
      </c>
      <c r="E119" s="5">
        <f>IF('Notes &amp; Assumptions'!$C$4="Regular",D119,C119)</f>
        <v>32.99</v>
      </c>
      <c r="F119" s="15">
        <v>12</v>
      </c>
      <c r="G119" s="5" t="s">
        <v>1135</v>
      </c>
      <c r="H119" s="5">
        <f t="shared" si="2"/>
        <v>2.749166666666667</v>
      </c>
      <c r="I119" s="5" t="str">
        <f t="shared" si="3"/>
        <v/>
      </c>
      <c r="J119" s="5"/>
      <c r="K119" s="7" t="s">
        <v>1131</v>
      </c>
    </row>
    <row r="120" spans="1:11" x14ac:dyDescent="0.2">
      <c r="A120" s="27" t="s">
        <v>397</v>
      </c>
      <c r="B120" s="20" t="s">
        <v>1262</v>
      </c>
      <c r="C120" s="19">
        <v>48.99</v>
      </c>
      <c r="D120" s="19">
        <v>48.99</v>
      </c>
      <c r="E120" s="20">
        <f>IF('Notes &amp; Assumptions'!$C$4="Regular",D120,C120)</f>
        <v>48.99</v>
      </c>
      <c r="F120" s="19">
        <v>200</v>
      </c>
      <c r="G120" s="20" t="s">
        <v>1133</v>
      </c>
      <c r="H120" s="20">
        <f t="shared" si="2"/>
        <v>0.24495</v>
      </c>
      <c r="I120" s="20" t="str">
        <f t="shared" si="3"/>
        <v/>
      </c>
      <c r="J120" s="20" t="s">
        <v>398</v>
      </c>
      <c r="K120" s="28" t="s">
        <v>1131</v>
      </c>
    </row>
    <row r="121" spans="1:11" x14ac:dyDescent="0.2">
      <c r="A121" s="8" t="s">
        <v>930</v>
      </c>
      <c r="B121" s="5" t="s">
        <v>1263</v>
      </c>
      <c r="C121" s="15">
        <v>41.99</v>
      </c>
      <c r="D121" s="15">
        <v>41.99</v>
      </c>
      <c r="E121" s="5">
        <f>IF('Notes &amp; Assumptions'!$C$4="Regular",D121,C121)</f>
        <v>41.99</v>
      </c>
      <c r="F121" s="15">
        <v>500</v>
      </c>
      <c r="G121" s="5" t="s">
        <v>1130</v>
      </c>
      <c r="H121" s="5">
        <f t="shared" si="2"/>
        <v>8.3979999999999999E-2</v>
      </c>
      <c r="I121" s="5" t="str">
        <f t="shared" si="3"/>
        <v/>
      </c>
      <c r="J121" s="5"/>
      <c r="K121" s="7" t="s">
        <v>1131</v>
      </c>
    </row>
    <row r="122" spans="1:11" x14ac:dyDescent="0.2">
      <c r="A122" s="8" t="s">
        <v>1041</v>
      </c>
      <c r="B122" s="5" t="s">
        <v>1264</v>
      </c>
      <c r="C122" s="15">
        <v>58.99</v>
      </c>
      <c r="D122" s="15">
        <v>58.99</v>
      </c>
      <c r="E122" s="5">
        <f>IF('Notes &amp; Assumptions'!$C$4="Regular",D122,C122)</f>
        <v>58.99</v>
      </c>
      <c r="F122" s="15">
        <v>1</v>
      </c>
      <c r="G122" s="5" t="s">
        <v>1135</v>
      </c>
      <c r="H122" s="5">
        <f t="shared" si="2"/>
        <v>58.99</v>
      </c>
      <c r="I122" s="5" t="str">
        <f t="shared" si="3"/>
        <v/>
      </c>
      <c r="J122" s="5"/>
      <c r="K122" s="7" t="s">
        <v>1131</v>
      </c>
    </row>
    <row r="123" spans="1:11" x14ac:dyDescent="0.2">
      <c r="A123" s="8" t="s">
        <v>304</v>
      </c>
      <c r="B123" s="5" t="s">
        <v>1265</v>
      </c>
      <c r="C123" s="15">
        <v>14.99</v>
      </c>
      <c r="D123" s="15">
        <v>14.99</v>
      </c>
      <c r="E123" s="5">
        <f>IF('Notes &amp; Assumptions'!$C$4="Regular",D123,C123)</f>
        <v>14.99</v>
      </c>
      <c r="F123" s="15">
        <v>500</v>
      </c>
      <c r="G123" s="5" t="s">
        <v>1130</v>
      </c>
      <c r="H123" s="5">
        <f t="shared" si="2"/>
        <v>2.998E-2</v>
      </c>
      <c r="I123" s="5" t="str">
        <f t="shared" si="3"/>
        <v/>
      </c>
      <c r="J123" s="5"/>
      <c r="K123" s="7" t="s">
        <v>1131</v>
      </c>
    </row>
    <row r="124" spans="1:11" x14ac:dyDescent="0.2">
      <c r="A124" s="8" t="s">
        <v>306</v>
      </c>
      <c r="B124" s="5" t="s">
        <v>1266</v>
      </c>
      <c r="C124" s="15">
        <v>119.99</v>
      </c>
      <c r="D124" s="15">
        <v>119.99</v>
      </c>
      <c r="E124" s="5">
        <f>IF('Notes &amp; Assumptions'!$C$4="Regular",D124,C124)</f>
        <v>119.99</v>
      </c>
      <c r="F124" s="15">
        <v>1</v>
      </c>
      <c r="G124" s="5" t="s">
        <v>1135</v>
      </c>
      <c r="H124" s="5">
        <f t="shared" si="2"/>
        <v>119.99</v>
      </c>
      <c r="I124" s="5" t="str">
        <f t="shared" si="3"/>
        <v/>
      </c>
      <c r="J124" s="5"/>
      <c r="K124" s="7" t="s">
        <v>1131</v>
      </c>
    </row>
    <row r="125" spans="1:11" x14ac:dyDescent="0.2">
      <c r="A125" s="8" t="s">
        <v>835</v>
      </c>
      <c r="B125" s="5" t="s">
        <v>1267</v>
      </c>
      <c r="C125" s="15">
        <v>49.99</v>
      </c>
      <c r="D125" s="15">
        <v>49.99</v>
      </c>
      <c r="E125" s="5">
        <f>IF('Notes &amp; Assumptions'!$C$4="Regular",D125,C125)</f>
        <v>49.99</v>
      </c>
      <c r="F125" s="15">
        <v>400</v>
      </c>
      <c r="G125" s="5" t="s">
        <v>1130</v>
      </c>
      <c r="H125" s="5">
        <f t="shared" si="2"/>
        <v>0.124975</v>
      </c>
      <c r="I125" s="5" t="str">
        <f t="shared" si="3"/>
        <v/>
      </c>
      <c r="J125" s="5"/>
      <c r="K125" s="7" t="s">
        <v>1131</v>
      </c>
    </row>
    <row r="126" spans="1:11" x14ac:dyDescent="0.2">
      <c r="A126" s="8" t="s">
        <v>313</v>
      </c>
      <c r="B126" s="5" t="s">
        <v>1268</v>
      </c>
      <c r="C126" s="15">
        <v>29.99</v>
      </c>
      <c r="D126" s="15">
        <v>29.99</v>
      </c>
      <c r="E126" s="5">
        <f>IF('Notes &amp; Assumptions'!$C$4="Regular",D126,C126)</f>
        <v>29.99</v>
      </c>
      <c r="F126" s="15">
        <v>1</v>
      </c>
      <c r="G126" s="5" t="s">
        <v>1135</v>
      </c>
      <c r="H126" s="5">
        <f t="shared" si="2"/>
        <v>29.99</v>
      </c>
      <c r="I126" s="5" t="str">
        <f t="shared" si="3"/>
        <v/>
      </c>
      <c r="J126" s="5"/>
      <c r="K126" s="7" t="s">
        <v>1131</v>
      </c>
    </row>
    <row r="127" spans="1:11" x14ac:dyDescent="0.2">
      <c r="A127" s="8" t="s">
        <v>990</v>
      </c>
      <c r="B127" s="5" t="s">
        <v>1269</v>
      </c>
      <c r="C127" s="15">
        <v>39.99</v>
      </c>
      <c r="D127" s="15">
        <v>39.99</v>
      </c>
      <c r="E127" s="5">
        <f>IF('Notes &amp; Assumptions'!$C$4="Regular",D127,C127)</f>
        <v>39.99</v>
      </c>
      <c r="F127" s="15">
        <v>45</v>
      </c>
      <c r="G127" s="5" t="s">
        <v>1130</v>
      </c>
      <c r="H127" s="5">
        <f t="shared" si="2"/>
        <v>0.88866666666666672</v>
      </c>
      <c r="I127" s="5" t="str">
        <f t="shared" si="3"/>
        <v/>
      </c>
      <c r="J127" s="5"/>
      <c r="K127" s="7" t="s">
        <v>1131</v>
      </c>
    </row>
    <row r="128" spans="1:11" x14ac:dyDescent="0.2">
      <c r="A128" s="27" t="s">
        <v>665</v>
      </c>
      <c r="B128" s="20" t="s">
        <v>1270</v>
      </c>
      <c r="C128" s="19">
        <v>38.99</v>
      </c>
      <c r="D128" s="19">
        <v>38.99</v>
      </c>
      <c r="E128" s="20">
        <f>IF('Notes &amp; Assumptions'!$C$4="Regular",D128,C128)</f>
        <v>38.99</v>
      </c>
      <c r="F128" s="19">
        <v>1</v>
      </c>
      <c r="G128" s="20" t="s">
        <v>1135</v>
      </c>
      <c r="H128" s="20">
        <f t="shared" si="2"/>
        <v>38.99</v>
      </c>
      <c r="I128" s="20" t="str">
        <f t="shared" si="3"/>
        <v/>
      </c>
      <c r="J128" s="20" t="s">
        <v>666</v>
      </c>
      <c r="K128" s="28" t="s">
        <v>1131</v>
      </c>
    </row>
    <row r="129" spans="1:11" x14ac:dyDescent="0.2">
      <c r="A129" s="8" t="s">
        <v>891</v>
      </c>
      <c r="B129" s="5" t="s">
        <v>1271</v>
      </c>
      <c r="C129" s="15">
        <v>45.99</v>
      </c>
      <c r="D129" s="15">
        <v>45.99</v>
      </c>
      <c r="E129" s="5">
        <f>IF('Notes &amp; Assumptions'!$C$4="Regular",D129,C129)</f>
        <v>45.99</v>
      </c>
      <c r="F129" s="15">
        <v>470</v>
      </c>
      <c r="G129" s="5" t="s">
        <v>1130</v>
      </c>
      <c r="H129" s="5">
        <f t="shared" si="2"/>
        <v>9.7851063829787241E-2</v>
      </c>
      <c r="I129" s="5" t="str">
        <f t="shared" si="3"/>
        <v/>
      </c>
      <c r="J129" s="5"/>
      <c r="K129" s="7" t="s">
        <v>1131</v>
      </c>
    </row>
    <row r="130" spans="1:11" x14ac:dyDescent="0.2">
      <c r="A130" s="8" t="s">
        <v>638</v>
      </c>
      <c r="B130" s="5" t="s">
        <v>1272</v>
      </c>
      <c r="C130" s="15">
        <v>84.99</v>
      </c>
      <c r="D130" s="15">
        <v>84.99</v>
      </c>
      <c r="E130" s="5">
        <f>IF('Notes &amp; Assumptions'!$C$4="Regular",D130,C130)</f>
        <v>84.99</v>
      </c>
      <c r="F130" s="15">
        <v>1</v>
      </c>
      <c r="G130" s="5" t="s">
        <v>1135</v>
      </c>
      <c r="H130" s="5">
        <f t="shared" ref="H130:H193" si="4">E130/F130</f>
        <v>84.99</v>
      </c>
      <c r="I130" s="5" t="str">
        <f t="shared" ref="I130:I193" si="5">IF(C130&lt;D130,"Yes","")</f>
        <v/>
      </c>
      <c r="J130" s="5"/>
      <c r="K130" s="7" t="s">
        <v>1131</v>
      </c>
    </row>
    <row r="131" spans="1:11" x14ac:dyDescent="0.2">
      <c r="A131" s="8" t="s">
        <v>993</v>
      </c>
      <c r="B131" s="5" t="s">
        <v>1273</v>
      </c>
      <c r="C131" s="15">
        <v>41.99</v>
      </c>
      <c r="D131" s="15">
        <v>41.99</v>
      </c>
      <c r="E131" s="5">
        <f>IF('Notes &amp; Assumptions'!$C$4="Regular",D131,C131)</f>
        <v>41.99</v>
      </c>
      <c r="F131" s="15">
        <v>380</v>
      </c>
      <c r="G131" s="5" t="s">
        <v>1130</v>
      </c>
      <c r="H131" s="5">
        <f t="shared" si="4"/>
        <v>0.1105</v>
      </c>
      <c r="I131" s="5" t="str">
        <f t="shared" si="5"/>
        <v/>
      </c>
      <c r="J131" s="5"/>
      <c r="K131" s="7" t="s">
        <v>1131</v>
      </c>
    </row>
    <row r="132" spans="1:11" x14ac:dyDescent="0.2">
      <c r="A132" s="8" t="s">
        <v>975</v>
      </c>
      <c r="B132" s="5" t="s">
        <v>1274</v>
      </c>
      <c r="C132" s="15">
        <v>22.99</v>
      </c>
      <c r="D132" s="15">
        <v>22.99</v>
      </c>
      <c r="E132" s="5">
        <f>IF('Notes &amp; Assumptions'!$C$4="Regular",D132,C132)</f>
        <v>22.99</v>
      </c>
      <c r="F132" s="15">
        <v>70</v>
      </c>
      <c r="G132" s="5" t="s">
        <v>1130</v>
      </c>
      <c r="H132" s="5">
        <f t="shared" si="4"/>
        <v>0.3284285714285714</v>
      </c>
      <c r="I132" s="5" t="str">
        <f t="shared" si="5"/>
        <v/>
      </c>
      <c r="J132" s="5"/>
      <c r="K132" s="7" t="s">
        <v>1131</v>
      </c>
    </row>
    <row r="133" spans="1:11" x14ac:dyDescent="0.2">
      <c r="A133" s="8" t="s">
        <v>584</v>
      </c>
      <c r="B133" s="5" t="s">
        <v>1275</v>
      </c>
      <c r="C133" s="15">
        <v>52.99</v>
      </c>
      <c r="D133" s="15">
        <v>52.99</v>
      </c>
      <c r="E133" s="5">
        <f>IF('Notes &amp; Assumptions'!$C$4="Regular",D133,C133)</f>
        <v>52.99</v>
      </c>
      <c r="F133" s="15">
        <v>400</v>
      </c>
      <c r="G133" s="5" t="s">
        <v>1130</v>
      </c>
      <c r="H133" s="5">
        <f t="shared" si="4"/>
        <v>0.13247500000000001</v>
      </c>
      <c r="I133" s="5" t="str">
        <f t="shared" si="5"/>
        <v/>
      </c>
      <c r="J133" s="5"/>
      <c r="K133" s="7" t="s">
        <v>1131</v>
      </c>
    </row>
    <row r="134" spans="1:11" x14ac:dyDescent="0.2">
      <c r="A134" s="8" t="s">
        <v>1029</v>
      </c>
      <c r="B134" s="5" t="s">
        <v>1276</v>
      </c>
      <c r="C134" s="15">
        <v>114.99</v>
      </c>
      <c r="D134" s="15">
        <v>114.99</v>
      </c>
      <c r="E134" s="5">
        <f>IF('Notes &amp; Assumptions'!$C$4="Regular",D134,C134)</f>
        <v>114.99</v>
      </c>
      <c r="F134" s="15">
        <v>50</v>
      </c>
      <c r="G134" s="5" t="s">
        <v>1130</v>
      </c>
      <c r="H134" s="5">
        <f t="shared" si="4"/>
        <v>2.2997999999999998</v>
      </c>
      <c r="I134" s="5" t="str">
        <f t="shared" si="5"/>
        <v/>
      </c>
      <c r="J134" s="5"/>
      <c r="K134" s="7" t="s">
        <v>1131</v>
      </c>
    </row>
    <row r="135" spans="1:11" x14ac:dyDescent="0.2">
      <c r="A135" s="8" t="s">
        <v>817</v>
      </c>
      <c r="B135" s="5" t="s">
        <v>1277</v>
      </c>
      <c r="C135" s="15">
        <v>25.99</v>
      </c>
      <c r="D135" s="15">
        <v>25.99</v>
      </c>
      <c r="E135" s="5">
        <f>IF('Notes &amp; Assumptions'!$C$4="Regular",D135,C135)</f>
        <v>25.99</v>
      </c>
      <c r="F135" s="15">
        <v>15</v>
      </c>
      <c r="G135" s="5" t="s">
        <v>1130</v>
      </c>
      <c r="H135" s="5">
        <f t="shared" si="4"/>
        <v>1.7326666666666666</v>
      </c>
      <c r="I135" s="5" t="str">
        <f t="shared" si="5"/>
        <v/>
      </c>
      <c r="J135" s="5"/>
      <c r="K135" s="7" t="s">
        <v>1131</v>
      </c>
    </row>
    <row r="136" spans="1:11" x14ac:dyDescent="0.2">
      <c r="A136" s="8" t="s">
        <v>794</v>
      </c>
      <c r="B136" s="5" t="s">
        <v>1278</v>
      </c>
      <c r="C136" s="15">
        <v>25.99</v>
      </c>
      <c r="D136" s="15">
        <v>25.99</v>
      </c>
      <c r="E136" s="5">
        <f>IF('Notes &amp; Assumptions'!$C$4="Regular",D136,C136)</f>
        <v>25.99</v>
      </c>
      <c r="F136" s="15">
        <v>6</v>
      </c>
      <c r="G136" s="5" t="s">
        <v>1135</v>
      </c>
      <c r="H136" s="5">
        <f t="shared" si="4"/>
        <v>4.3316666666666661</v>
      </c>
      <c r="I136" s="5" t="str">
        <f t="shared" si="5"/>
        <v/>
      </c>
      <c r="J136" s="5" t="s">
        <v>795</v>
      </c>
      <c r="K136" s="7" t="s">
        <v>1131</v>
      </c>
    </row>
    <row r="137" spans="1:11" x14ac:dyDescent="0.2">
      <c r="A137" s="8" t="s">
        <v>896</v>
      </c>
      <c r="B137" s="5" t="s">
        <v>1279</v>
      </c>
      <c r="C137" s="15">
        <v>45.99</v>
      </c>
      <c r="D137" s="15">
        <v>45.99</v>
      </c>
      <c r="E137" s="5">
        <f>IF('Notes &amp; Assumptions'!$C$4="Regular",D137,C137)</f>
        <v>45.99</v>
      </c>
      <c r="F137" s="15">
        <v>125</v>
      </c>
      <c r="G137" s="5" t="s">
        <v>1130</v>
      </c>
      <c r="H137" s="5">
        <f t="shared" si="4"/>
        <v>0.36792000000000002</v>
      </c>
      <c r="I137" s="5" t="str">
        <f t="shared" si="5"/>
        <v/>
      </c>
      <c r="J137" s="5"/>
      <c r="K137" s="7" t="s">
        <v>1131</v>
      </c>
    </row>
    <row r="138" spans="1:11" x14ac:dyDescent="0.2">
      <c r="A138" s="8" t="s">
        <v>747</v>
      </c>
      <c r="B138" s="5" t="s">
        <v>1280</v>
      </c>
      <c r="C138" s="15">
        <v>53.99</v>
      </c>
      <c r="D138" s="15">
        <v>53.99</v>
      </c>
      <c r="E138" s="5">
        <f>IF('Notes &amp; Assumptions'!$C$4="Regular",D138,C138)</f>
        <v>53.99</v>
      </c>
      <c r="F138" s="15">
        <v>250</v>
      </c>
      <c r="G138" s="5" t="s">
        <v>1130</v>
      </c>
      <c r="H138" s="5">
        <f t="shared" si="4"/>
        <v>0.21596000000000001</v>
      </c>
      <c r="I138" s="5" t="str">
        <f t="shared" si="5"/>
        <v/>
      </c>
      <c r="J138" s="5"/>
      <c r="K138" s="7" t="s">
        <v>1131</v>
      </c>
    </row>
    <row r="139" spans="1:11" x14ac:dyDescent="0.2">
      <c r="A139" s="8" t="s">
        <v>437</v>
      </c>
      <c r="B139" s="5" t="s">
        <v>1281</v>
      </c>
      <c r="C139" s="15">
        <v>130</v>
      </c>
      <c r="D139" s="15">
        <v>130</v>
      </c>
      <c r="E139" s="5">
        <f>IF('Notes &amp; Assumptions'!$C$4="Regular",D139,C139)</f>
        <v>130</v>
      </c>
      <c r="F139" s="15">
        <v>250</v>
      </c>
      <c r="G139" s="5" t="s">
        <v>1133</v>
      </c>
      <c r="H139" s="5">
        <f t="shared" si="4"/>
        <v>0.52</v>
      </c>
      <c r="I139" s="5" t="str">
        <f t="shared" si="5"/>
        <v/>
      </c>
      <c r="J139" s="5"/>
      <c r="K139" s="7" t="s">
        <v>1131</v>
      </c>
    </row>
    <row r="140" spans="1:11" x14ac:dyDescent="0.2">
      <c r="A140" s="8" t="s">
        <v>904</v>
      </c>
      <c r="B140" s="5" t="s">
        <v>1282</v>
      </c>
      <c r="C140" s="15">
        <v>22.99</v>
      </c>
      <c r="D140" s="15">
        <v>22.99</v>
      </c>
      <c r="E140" s="5">
        <f>IF('Notes &amp; Assumptions'!$C$4="Regular",D140,C140)</f>
        <v>22.99</v>
      </c>
      <c r="F140" s="15">
        <v>500</v>
      </c>
      <c r="G140" s="5" t="s">
        <v>1130</v>
      </c>
      <c r="H140" s="5">
        <f t="shared" si="4"/>
        <v>4.598E-2</v>
      </c>
      <c r="I140" s="5" t="str">
        <f t="shared" si="5"/>
        <v/>
      </c>
      <c r="J140" s="5"/>
      <c r="K140" s="7" t="s">
        <v>1131</v>
      </c>
    </row>
    <row r="141" spans="1:11" x14ac:dyDescent="0.2">
      <c r="A141" s="8" t="s">
        <v>1101</v>
      </c>
      <c r="B141" s="5" t="s">
        <v>1283</v>
      </c>
      <c r="C141" s="15">
        <v>39.99</v>
      </c>
      <c r="D141" s="15">
        <v>39.99</v>
      </c>
      <c r="E141" s="5">
        <f>IF('Notes &amp; Assumptions'!$C$4="Regular",D141,C141)</f>
        <v>39.99</v>
      </c>
      <c r="F141" s="15">
        <v>1</v>
      </c>
      <c r="G141" s="5" t="s">
        <v>1135</v>
      </c>
      <c r="H141" s="5">
        <f t="shared" si="4"/>
        <v>39.99</v>
      </c>
      <c r="I141" s="5" t="str">
        <f t="shared" si="5"/>
        <v/>
      </c>
      <c r="J141" s="5"/>
      <c r="K141" s="7" t="s">
        <v>1131</v>
      </c>
    </row>
    <row r="142" spans="1:11" x14ac:dyDescent="0.2">
      <c r="A142" s="8" t="s">
        <v>1057</v>
      </c>
      <c r="B142" s="5" t="s">
        <v>1284</v>
      </c>
      <c r="C142" s="15">
        <v>39.99</v>
      </c>
      <c r="D142" s="15">
        <v>39.99</v>
      </c>
      <c r="E142" s="5">
        <f>IF('Notes &amp; Assumptions'!$C$4="Regular",D142,C142)</f>
        <v>39.99</v>
      </c>
      <c r="F142" s="15">
        <v>1</v>
      </c>
      <c r="G142" s="5" t="s">
        <v>1135</v>
      </c>
      <c r="H142" s="5">
        <f t="shared" si="4"/>
        <v>39.99</v>
      </c>
      <c r="I142" s="5" t="str">
        <f t="shared" si="5"/>
        <v/>
      </c>
      <c r="J142" s="5"/>
      <c r="K142" s="7" t="s">
        <v>1131</v>
      </c>
    </row>
    <row r="143" spans="1:11" x14ac:dyDescent="0.2">
      <c r="A143" s="8" t="s">
        <v>1002</v>
      </c>
      <c r="B143" s="5" t="s">
        <v>1285</v>
      </c>
      <c r="C143" s="15">
        <v>62.99</v>
      </c>
      <c r="D143" s="15">
        <v>62.99</v>
      </c>
      <c r="E143" s="5">
        <f>IF('Notes &amp; Assumptions'!$C$4="Regular",D143,C143)</f>
        <v>62.99</v>
      </c>
      <c r="F143" s="15">
        <v>100</v>
      </c>
      <c r="G143" s="5" t="s">
        <v>1130</v>
      </c>
      <c r="H143" s="5">
        <f t="shared" si="4"/>
        <v>0.62990000000000002</v>
      </c>
      <c r="I143" s="5" t="str">
        <f t="shared" si="5"/>
        <v/>
      </c>
      <c r="J143" s="5"/>
      <c r="K143" s="7" t="s">
        <v>1131</v>
      </c>
    </row>
    <row r="144" spans="1:11" x14ac:dyDescent="0.2">
      <c r="A144" s="8" t="s">
        <v>564</v>
      </c>
      <c r="B144" s="5" t="s">
        <v>1286</v>
      </c>
      <c r="C144" s="15">
        <v>26.99</v>
      </c>
      <c r="D144" s="15">
        <v>26.99</v>
      </c>
      <c r="E144" s="5">
        <f>IF('Notes &amp; Assumptions'!$C$4="Regular",D144,C144)</f>
        <v>26.99</v>
      </c>
      <c r="F144" s="15">
        <v>1</v>
      </c>
      <c r="G144" s="5" t="s">
        <v>1135</v>
      </c>
      <c r="H144" s="5">
        <f t="shared" si="4"/>
        <v>26.99</v>
      </c>
      <c r="I144" s="5" t="str">
        <f t="shared" si="5"/>
        <v/>
      </c>
      <c r="J144" s="5"/>
      <c r="K144" s="7" t="s">
        <v>1131</v>
      </c>
    </row>
    <row r="145" spans="1:11" x14ac:dyDescent="0.2">
      <c r="A145" s="8" t="s">
        <v>837</v>
      </c>
      <c r="B145" s="5" t="s">
        <v>1287</v>
      </c>
      <c r="C145" s="15">
        <v>19.989999999999998</v>
      </c>
      <c r="D145" s="15">
        <v>19.989999999999998</v>
      </c>
      <c r="E145" s="5">
        <f>IF('Notes &amp; Assumptions'!$C$4="Regular",D145,C145)</f>
        <v>19.989999999999998</v>
      </c>
      <c r="F145" s="15">
        <v>1</v>
      </c>
      <c r="G145" s="5" t="s">
        <v>1135</v>
      </c>
      <c r="H145" s="5">
        <f t="shared" si="4"/>
        <v>19.989999999999998</v>
      </c>
      <c r="I145" s="5" t="str">
        <f t="shared" si="5"/>
        <v/>
      </c>
      <c r="J145" s="5"/>
      <c r="K145" s="7" t="s">
        <v>1131</v>
      </c>
    </row>
    <row r="146" spans="1:11" x14ac:dyDescent="0.2">
      <c r="A146" s="8" t="s">
        <v>1036</v>
      </c>
      <c r="B146" s="5" t="s">
        <v>1288</v>
      </c>
      <c r="C146" s="15">
        <v>23.99</v>
      </c>
      <c r="D146" s="15">
        <v>23.99</v>
      </c>
      <c r="E146" s="5">
        <f>IF('Notes &amp; Assumptions'!$C$4="Regular",D146,C146)</f>
        <v>23.99</v>
      </c>
      <c r="F146" s="15">
        <v>90</v>
      </c>
      <c r="G146" s="5" t="s">
        <v>1130</v>
      </c>
      <c r="H146" s="5">
        <f t="shared" si="4"/>
        <v>0.26655555555555555</v>
      </c>
      <c r="I146" s="5" t="str">
        <f t="shared" si="5"/>
        <v/>
      </c>
      <c r="J146" s="5"/>
      <c r="K146" s="7" t="s">
        <v>1131</v>
      </c>
    </row>
    <row r="147" spans="1:11" x14ac:dyDescent="0.2">
      <c r="A147" s="8" t="s">
        <v>1045</v>
      </c>
      <c r="B147" s="5" t="s">
        <v>1289</v>
      </c>
      <c r="C147" s="15">
        <v>31.99</v>
      </c>
      <c r="D147" s="15">
        <v>31.99</v>
      </c>
      <c r="E147" s="5">
        <f>IF('Notes &amp; Assumptions'!$C$4="Regular",D147,C147)</f>
        <v>31.99</v>
      </c>
      <c r="F147" s="15">
        <v>180</v>
      </c>
      <c r="G147" s="5" t="s">
        <v>1130</v>
      </c>
      <c r="H147" s="5">
        <f t="shared" si="4"/>
        <v>0.17772222222222223</v>
      </c>
      <c r="I147" s="5" t="str">
        <f t="shared" si="5"/>
        <v/>
      </c>
      <c r="J147" s="5"/>
      <c r="K147" s="7" t="s">
        <v>1131</v>
      </c>
    </row>
    <row r="148" spans="1:11" x14ac:dyDescent="0.2">
      <c r="A148" s="8" t="s">
        <v>581</v>
      </c>
      <c r="B148" s="5" t="s">
        <v>1290</v>
      </c>
      <c r="C148" s="15">
        <v>32.99</v>
      </c>
      <c r="D148" s="15">
        <v>32.99</v>
      </c>
      <c r="E148" s="5">
        <f>IF('Notes &amp; Assumptions'!$C$4="Regular",D148,C148)</f>
        <v>32.99</v>
      </c>
      <c r="F148" s="15">
        <v>8</v>
      </c>
      <c r="G148" s="5" t="s">
        <v>1135</v>
      </c>
      <c r="H148" s="5">
        <f t="shared" si="4"/>
        <v>4.1237500000000002</v>
      </c>
      <c r="I148" s="5" t="str">
        <f t="shared" si="5"/>
        <v/>
      </c>
      <c r="J148" s="5" t="s">
        <v>582</v>
      </c>
      <c r="K148" s="7" t="s">
        <v>1131</v>
      </c>
    </row>
    <row r="149" spans="1:11" x14ac:dyDescent="0.2">
      <c r="A149" s="8" t="s">
        <v>325</v>
      </c>
      <c r="B149" s="5" t="s">
        <v>1291</v>
      </c>
      <c r="C149" s="15">
        <v>72.989999999999995</v>
      </c>
      <c r="D149" s="15">
        <v>72.989999999999995</v>
      </c>
      <c r="E149" s="5">
        <f>IF('Notes &amp; Assumptions'!$C$4="Regular",D149,C149)</f>
        <v>72.989999999999995</v>
      </c>
      <c r="F149" s="15">
        <v>150</v>
      </c>
      <c r="G149" s="5" t="s">
        <v>1133</v>
      </c>
      <c r="H149" s="5">
        <f t="shared" si="4"/>
        <v>0.48659999999999998</v>
      </c>
      <c r="I149" s="5" t="str">
        <f t="shared" si="5"/>
        <v/>
      </c>
      <c r="J149" s="5"/>
      <c r="K149" s="7" t="s">
        <v>1131</v>
      </c>
    </row>
    <row r="150" spans="1:11" x14ac:dyDescent="0.2">
      <c r="A150" s="8" t="s">
        <v>1020</v>
      </c>
      <c r="B150" s="5" t="s">
        <v>1292</v>
      </c>
      <c r="C150" s="15">
        <v>62.99</v>
      </c>
      <c r="D150" s="15">
        <v>62.99</v>
      </c>
      <c r="E150" s="5">
        <f>IF('Notes &amp; Assumptions'!$C$4="Regular",D150,C150)</f>
        <v>62.99</v>
      </c>
      <c r="F150" s="15">
        <v>250</v>
      </c>
      <c r="G150" s="5" t="s">
        <v>1130</v>
      </c>
      <c r="H150" s="5">
        <f t="shared" si="4"/>
        <v>0.25196000000000002</v>
      </c>
      <c r="I150" s="5" t="str">
        <f t="shared" si="5"/>
        <v/>
      </c>
      <c r="J150" s="5"/>
      <c r="K150" s="7" t="s">
        <v>1131</v>
      </c>
    </row>
    <row r="151" spans="1:11" x14ac:dyDescent="0.2">
      <c r="A151" s="8" t="s">
        <v>318</v>
      </c>
      <c r="B151" s="5" t="s">
        <v>1293</v>
      </c>
      <c r="C151" s="15">
        <v>24.99</v>
      </c>
      <c r="D151" s="15">
        <v>24.99</v>
      </c>
      <c r="E151" s="5">
        <f>IF('Notes &amp; Assumptions'!$C$4="Regular",D151,C151)</f>
        <v>24.99</v>
      </c>
      <c r="F151" s="15">
        <v>100</v>
      </c>
      <c r="G151" s="5" t="s">
        <v>1130</v>
      </c>
      <c r="H151" s="5">
        <f t="shared" si="4"/>
        <v>0.24989999999999998</v>
      </c>
      <c r="I151" s="5" t="str">
        <f t="shared" si="5"/>
        <v/>
      </c>
      <c r="J151" s="5" t="s">
        <v>341</v>
      </c>
      <c r="K151" s="7" t="s">
        <v>1131</v>
      </c>
    </row>
    <row r="152" spans="1:11" x14ac:dyDescent="0.2">
      <c r="A152" s="8" t="s">
        <v>321</v>
      </c>
      <c r="B152" s="5" t="s">
        <v>1294</v>
      </c>
      <c r="C152" s="15">
        <v>54.99</v>
      </c>
      <c r="D152" s="15">
        <v>54.99</v>
      </c>
      <c r="E152" s="5">
        <f>IF('Notes &amp; Assumptions'!$C$4="Regular",D152,C152)</f>
        <v>54.99</v>
      </c>
      <c r="F152" s="15">
        <v>175</v>
      </c>
      <c r="G152" s="5" t="s">
        <v>1130</v>
      </c>
      <c r="H152" s="5">
        <f t="shared" si="4"/>
        <v>0.31422857142857141</v>
      </c>
      <c r="I152" s="5" t="str">
        <f t="shared" si="5"/>
        <v/>
      </c>
      <c r="J152" s="5"/>
      <c r="K152" s="7" t="s">
        <v>1131</v>
      </c>
    </row>
    <row r="153" spans="1:11" x14ac:dyDescent="0.2">
      <c r="A153" s="8" t="s">
        <v>431</v>
      </c>
      <c r="B153" s="5" t="s">
        <v>1295</v>
      </c>
      <c r="C153" s="15">
        <v>65</v>
      </c>
      <c r="D153" s="15">
        <v>65</v>
      </c>
      <c r="E153" s="5">
        <f>IF('Notes &amp; Assumptions'!$C$4="Regular",D153,C153)</f>
        <v>65</v>
      </c>
      <c r="F153" s="15">
        <v>1</v>
      </c>
      <c r="G153" s="5" t="s">
        <v>1135</v>
      </c>
      <c r="H153" s="5">
        <f t="shared" si="4"/>
        <v>65</v>
      </c>
      <c r="I153" s="5" t="str">
        <f t="shared" si="5"/>
        <v/>
      </c>
      <c r="J153" s="5" t="s">
        <v>432</v>
      </c>
      <c r="K153" s="7" t="s">
        <v>1131</v>
      </c>
    </row>
    <row r="154" spans="1:11" x14ac:dyDescent="0.2">
      <c r="A154" s="8" t="s">
        <v>618</v>
      </c>
      <c r="B154" s="5" t="s">
        <v>1296</v>
      </c>
      <c r="C154" s="15">
        <v>49.99</v>
      </c>
      <c r="D154" s="15">
        <v>49.99</v>
      </c>
      <c r="E154" s="5">
        <f>IF('Notes &amp; Assumptions'!$C$4="Regular",D154,C154)</f>
        <v>49.99</v>
      </c>
      <c r="F154" s="15">
        <v>1</v>
      </c>
      <c r="G154" s="5" t="s">
        <v>1135</v>
      </c>
      <c r="H154" s="5">
        <f t="shared" si="4"/>
        <v>49.99</v>
      </c>
      <c r="I154" s="5" t="str">
        <f t="shared" si="5"/>
        <v/>
      </c>
      <c r="J154" s="5"/>
      <c r="K154" s="7" t="s">
        <v>1131</v>
      </c>
    </row>
    <row r="155" spans="1:11" x14ac:dyDescent="0.2">
      <c r="A155" s="8" t="s">
        <v>475</v>
      </c>
      <c r="B155" s="5" t="s">
        <v>1297</v>
      </c>
      <c r="C155" s="15">
        <v>61.99</v>
      </c>
      <c r="D155" s="15">
        <v>61.99</v>
      </c>
      <c r="E155" s="5">
        <f>IF('Notes &amp; Assumptions'!$C$4="Regular",D155,C155)</f>
        <v>61.99</v>
      </c>
      <c r="F155" s="15">
        <v>4</v>
      </c>
      <c r="G155" s="5" t="s">
        <v>1135</v>
      </c>
      <c r="H155" s="5">
        <f t="shared" si="4"/>
        <v>15.4975</v>
      </c>
      <c r="I155" s="5" t="str">
        <f t="shared" si="5"/>
        <v/>
      </c>
      <c r="J155" s="5"/>
      <c r="K155" s="7" t="s">
        <v>1131</v>
      </c>
    </row>
    <row r="156" spans="1:11" x14ac:dyDescent="0.2">
      <c r="A156" s="8" t="s">
        <v>330</v>
      </c>
      <c r="B156" s="5" t="s">
        <v>1298</v>
      </c>
      <c r="C156" s="15">
        <v>109.99</v>
      </c>
      <c r="D156" s="15">
        <v>109.99</v>
      </c>
      <c r="E156" s="5">
        <f>IF('Notes &amp; Assumptions'!$C$4="Regular",D156,C156)</f>
        <v>109.99</v>
      </c>
      <c r="F156" s="15">
        <v>250</v>
      </c>
      <c r="G156" s="5" t="s">
        <v>1133</v>
      </c>
      <c r="H156" s="5">
        <f t="shared" si="4"/>
        <v>0.43995999999999996</v>
      </c>
      <c r="I156" s="5" t="str">
        <f t="shared" si="5"/>
        <v/>
      </c>
      <c r="J156" s="5"/>
      <c r="K156" s="7" t="s">
        <v>1131</v>
      </c>
    </row>
    <row r="157" spans="1:11" x14ac:dyDescent="0.2">
      <c r="A157" s="8" t="s">
        <v>515</v>
      </c>
      <c r="B157" s="5" t="s">
        <v>1299</v>
      </c>
      <c r="C157" s="15">
        <v>104.99</v>
      </c>
      <c r="D157" s="15">
        <v>104.99</v>
      </c>
      <c r="E157" s="5">
        <f>IF('Notes &amp; Assumptions'!$C$4="Regular",D157,C157)</f>
        <v>104.99</v>
      </c>
      <c r="F157" s="15">
        <v>250</v>
      </c>
      <c r="G157" s="5" t="s">
        <v>1130</v>
      </c>
      <c r="H157" s="5">
        <f t="shared" si="4"/>
        <v>0.41996</v>
      </c>
      <c r="I157" s="5" t="str">
        <f t="shared" si="5"/>
        <v/>
      </c>
      <c r="J157" s="5"/>
      <c r="K157" s="7" t="s">
        <v>1131</v>
      </c>
    </row>
    <row r="158" spans="1:11" x14ac:dyDescent="0.2">
      <c r="A158" s="8" t="s">
        <v>589</v>
      </c>
      <c r="B158" s="5" t="s">
        <v>1300</v>
      </c>
      <c r="C158" s="15">
        <v>64.989999999999995</v>
      </c>
      <c r="D158" s="15">
        <v>64.989999999999995</v>
      </c>
      <c r="E158" s="5">
        <f>IF('Notes &amp; Assumptions'!$C$4="Regular",D158,C158)</f>
        <v>64.989999999999995</v>
      </c>
      <c r="F158" s="15">
        <v>100</v>
      </c>
      <c r="G158" s="5" t="s">
        <v>1130</v>
      </c>
      <c r="H158" s="5">
        <f t="shared" si="4"/>
        <v>0.64989999999999992</v>
      </c>
      <c r="I158" s="5" t="str">
        <f t="shared" si="5"/>
        <v/>
      </c>
      <c r="J158" s="5"/>
      <c r="K158" s="7" t="s">
        <v>1131</v>
      </c>
    </row>
    <row r="159" spans="1:11" x14ac:dyDescent="0.2">
      <c r="A159" s="8" t="s">
        <v>711</v>
      </c>
      <c r="B159" s="5" t="s">
        <v>1301</v>
      </c>
      <c r="C159" s="15">
        <v>69.989999999999995</v>
      </c>
      <c r="D159" s="15">
        <v>69.989999999999995</v>
      </c>
      <c r="E159" s="5">
        <f>IF('Notes &amp; Assumptions'!$C$4="Regular",D159,C159)</f>
        <v>69.989999999999995</v>
      </c>
      <c r="F159" s="15">
        <v>100</v>
      </c>
      <c r="G159" s="5" t="s">
        <v>1130</v>
      </c>
      <c r="H159" s="5">
        <f t="shared" si="4"/>
        <v>0.69989999999999997</v>
      </c>
      <c r="I159" s="5" t="str">
        <f t="shared" si="5"/>
        <v/>
      </c>
      <c r="J159" s="5"/>
      <c r="K159" s="7" t="s">
        <v>1131</v>
      </c>
    </row>
    <row r="160" spans="1:11" x14ac:dyDescent="0.2">
      <c r="A160" s="8" t="s">
        <v>862</v>
      </c>
      <c r="B160" s="5" t="s">
        <v>1302</v>
      </c>
      <c r="C160" s="15">
        <v>148.99</v>
      </c>
      <c r="D160" s="15">
        <v>148.99</v>
      </c>
      <c r="E160" s="5">
        <f>IF('Notes &amp; Assumptions'!$C$4="Regular",D160,C160)</f>
        <v>148.99</v>
      </c>
      <c r="F160" s="15">
        <v>100</v>
      </c>
      <c r="G160" s="5" t="s">
        <v>1130</v>
      </c>
      <c r="H160" s="5">
        <f t="shared" si="4"/>
        <v>1.4899</v>
      </c>
      <c r="I160" s="5" t="str">
        <f t="shared" si="5"/>
        <v/>
      </c>
      <c r="J160" s="5"/>
      <c r="K160" s="7" t="s">
        <v>1131</v>
      </c>
    </row>
    <row r="161" spans="1:11" x14ac:dyDescent="0.2">
      <c r="A161" s="8" t="s">
        <v>827</v>
      </c>
      <c r="B161" s="5" t="s">
        <v>1303</v>
      </c>
      <c r="C161" s="15">
        <v>28.99</v>
      </c>
      <c r="D161" s="15">
        <v>28.99</v>
      </c>
      <c r="E161" s="5">
        <f>IF('Notes &amp; Assumptions'!$C$4="Regular",D161,C161)</f>
        <v>28.99</v>
      </c>
      <c r="F161" s="15">
        <v>1</v>
      </c>
      <c r="G161" s="5" t="s">
        <v>1135</v>
      </c>
      <c r="H161" s="5">
        <f t="shared" si="4"/>
        <v>28.99</v>
      </c>
      <c r="I161" s="5" t="str">
        <f t="shared" si="5"/>
        <v/>
      </c>
      <c r="J161" s="5"/>
      <c r="K161" s="7" t="s">
        <v>1131</v>
      </c>
    </row>
    <row r="162" spans="1:11" x14ac:dyDescent="0.2">
      <c r="A162" s="8" t="s">
        <v>404</v>
      </c>
      <c r="B162" s="5" t="s">
        <v>1304</v>
      </c>
      <c r="C162" s="15">
        <v>73.989999999999995</v>
      </c>
      <c r="D162" s="15">
        <v>73.989999999999995</v>
      </c>
      <c r="E162" s="5">
        <f>IF('Notes &amp; Assumptions'!$C$4="Regular",D162,C162)</f>
        <v>73.989999999999995</v>
      </c>
      <c r="F162" s="15">
        <v>1000</v>
      </c>
      <c r="G162" s="5" t="s">
        <v>1130</v>
      </c>
      <c r="H162" s="5">
        <f t="shared" si="4"/>
        <v>7.399E-2</v>
      </c>
      <c r="I162" s="5" t="str">
        <f t="shared" si="5"/>
        <v/>
      </c>
      <c r="J162" s="5" t="s">
        <v>405</v>
      </c>
      <c r="K162" s="7" t="s">
        <v>1131</v>
      </c>
    </row>
    <row r="163" spans="1:11" x14ac:dyDescent="0.2">
      <c r="A163" s="8" t="s">
        <v>694</v>
      </c>
      <c r="B163" s="5" t="s">
        <v>1305</v>
      </c>
      <c r="C163" s="15">
        <v>39.99</v>
      </c>
      <c r="D163" s="15">
        <v>39.99</v>
      </c>
      <c r="E163" s="5">
        <f>IF('Notes &amp; Assumptions'!$C$4="Regular",D163,C163)</f>
        <v>39.99</v>
      </c>
      <c r="F163" s="15">
        <v>400</v>
      </c>
      <c r="G163" s="5" t="s">
        <v>1133</v>
      </c>
      <c r="H163" s="5">
        <f t="shared" si="4"/>
        <v>9.9975000000000008E-2</v>
      </c>
      <c r="I163" s="5" t="str">
        <f t="shared" si="5"/>
        <v/>
      </c>
      <c r="J163" s="5"/>
      <c r="K163" s="7" t="s">
        <v>1131</v>
      </c>
    </row>
    <row r="164" spans="1:11" x14ac:dyDescent="0.2">
      <c r="A164" s="8" t="s">
        <v>448</v>
      </c>
      <c r="B164" s="5" t="s">
        <v>1306</v>
      </c>
      <c r="C164" s="15">
        <v>19.989999999999998</v>
      </c>
      <c r="D164" s="15">
        <v>19.989999999999998</v>
      </c>
      <c r="E164" s="5">
        <f>IF('Notes &amp; Assumptions'!$C$4="Regular",D164,C164)</f>
        <v>19.989999999999998</v>
      </c>
      <c r="F164" s="15">
        <v>1</v>
      </c>
      <c r="G164" s="5" t="s">
        <v>1135</v>
      </c>
      <c r="H164" s="5">
        <f t="shared" si="4"/>
        <v>19.989999999999998</v>
      </c>
      <c r="I164" s="5" t="str">
        <f t="shared" si="5"/>
        <v/>
      </c>
      <c r="J164" s="5"/>
      <c r="K164" s="7" t="s">
        <v>1131</v>
      </c>
    </row>
    <row r="165" spans="1:11" x14ac:dyDescent="0.2">
      <c r="A165" s="8" t="s">
        <v>954</v>
      </c>
      <c r="B165" s="5" t="s">
        <v>1307</v>
      </c>
      <c r="C165" s="15">
        <v>28.99</v>
      </c>
      <c r="D165" s="15">
        <v>28.99</v>
      </c>
      <c r="E165" s="5">
        <f>IF('Notes &amp; Assumptions'!$C$4="Regular",D165,C165)</f>
        <v>28.99</v>
      </c>
      <c r="F165" s="15">
        <v>1</v>
      </c>
      <c r="G165" s="5" t="s">
        <v>1135</v>
      </c>
      <c r="H165" s="5">
        <f t="shared" si="4"/>
        <v>28.99</v>
      </c>
      <c r="I165" s="5" t="str">
        <f t="shared" si="5"/>
        <v/>
      </c>
      <c r="J165" s="5"/>
      <c r="K165" s="7" t="s">
        <v>1131</v>
      </c>
    </row>
    <row r="166" spans="1:11" x14ac:dyDescent="0.2">
      <c r="A166" s="8" t="s">
        <v>670</v>
      </c>
      <c r="B166" s="5" t="s">
        <v>1308</v>
      </c>
      <c r="C166" s="15">
        <v>44.99</v>
      </c>
      <c r="D166" s="15">
        <v>44.99</v>
      </c>
      <c r="E166" s="5">
        <f>IF('Notes &amp; Assumptions'!$C$4="Regular",D166,C166)</f>
        <v>44.99</v>
      </c>
      <c r="F166" s="15">
        <v>1</v>
      </c>
      <c r="G166" s="5" t="s">
        <v>1135</v>
      </c>
      <c r="H166" s="5">
        <f t="shared" si="4"/>
        <v>44.99</v>
      </c>
      <c r="I166" s="5" t="str">
        <f t="shared" si="5"/>
        <v/>
      </c>
      <c r="J166" s="5"/>
      <c r="K166" s="7" t="s">
        <v>1131</v>
      </c>
    </row>
    <row r="167" spans="1:11" x14ac:dyDescent="0.2">
      <c r="A167" s="8" t="s">
        <v>839</v>
      </c>
      <c r="B167" s="5" t="s">
        <v>1309</v>
      </c>
      <c r="C167" s="15">
        <v>58.99</v>
      </c>
      <c r="D167" s="15">
        <v>58.99</v>
      </c>
      <c r="E167" s="5">
        <f>IF('Notes &amp; Assumptions'!$C$4="Regular",D167,C167)</f>
        <v>58.99</v>
      </c>
      <c r="F167" s="15">
        <v>1</v>
      </c>
      <c r="G167" s="5" t="s">
        <v>1135</v>
      </c>
      <c r="H167" s="5">
        <f t="shared" si="4"/>
        <v>58.99</v>
      </c>
      <c r="I167" s="5" t="str">
        <f t="shared" si="5"/>
        <v/>
      </c>
      <c r="J167" s="5"/>
      <c r="K167" s="7" t="s">
        <v>1131</v>
      </c>
    </row>
    <row r="168" spans="1:11" x14ac:dyDescent="0.2">
      <c r="A168" s="8" t="s">
        <v>365</v>
      </c>
      <c r="B168" s="5" t="s">
        <v>1310</v>
      </c>
      <c r="C168" s="15">
        <v>68.989999999999995</v>
      </c>
      <c r="D168" s="15">
        <v>68.989999999999995</v>
      </c>
      <c r="E168" s="5">
        <f>IF('Notes &amp; Assumptions'!$C$4="Regular",D168,C168)</f>
        <v>68.989999999999995</v>
      </c>
      <c r="F168" s="15">
        <v>250</v>
      </c>
      <c r="G168" s="5" t="s">
        <v>1130</v>
      </c>
      <c r="H168" s="5">
        <f t="shared" si="4"/>
        <v>0.27595999999999998</v>
      </c>
      <c r="I168" s="5" t="str">
        <f t="shared" si="5"/>
        <v/>
      </c>
      <c r="J168" s="5"/>
      <c r="K168" s="7" t="s">
        <v>1131</v>
      </c>
    </row>
    <row r="169" spans="1:11" x14ac:dyDescent="0.2">
      <c r="A169" s="8" t="s">
        <v>972</v>
      </c>
      <c r="B169" s="5" t="s">
        <v>1311</v>
      </c>
      <c r="C169" s="15">
        <v>19.989999999999998</v>
      </c>
      <c r="D169" s="15">
        <v>19.989999999999998</v>
      </c>
      <c r="E169" s="5">
        <f>IF('Notes &amp; Assumptions'!$C$4="Regular",D169,C169)</f>
        <v>19.989999999999998</v>
      </c>
      <c r="F169" s="15">
        <v>80</v>
      </c>
      <c r="G169" s="5" t="s">
        <v>1130</v>
      </c>
      <c r="H169" s="5">
        <f t="shared" si="4"/>
        <v>0.24987499999999999</v>
      </c>
      <c r="I169" s="5" t="str">
        <f t="shared" si="5"/>
        <v/>
      </c>
      <c r="J169" s="5"/>
      <c r="K169" s="7" t="s">
        <v>1131</v>
      </c>
    </row>
    <row r="170" spans="1:11" x14ac:dyDescent="0.2">
      <c r="A170" s="8" t="s">
        <v>402</v>
      </c>
      <c r="B170" s="5" t="s">
        <v>1312</v>
      </c>
      <c r="C170" s="15">
        <v>33.99</v>
      </c>
      <c r="D170" s="15">
        <v>33.99</v>
      </c>
      <c r="E170" s="5">
        <f>IF('Notes &amp; Assumptions'!$C$4="Regular",D170,C170)</f>
        <v>33.99</v>
      </c>
      <c r="F170" s="15">
        <v>1</v>
      </c>
      <c r="G170" s="5" t="s">
        <v>1135</v>
      </c>
      <c r="H170" s="5">
        <f t="shared" si="4"/>
        <v>33.99</v>
      </c>
      <c r="I170" s="5" t="str">
        <f t="shared" si="5"/>
        <v/>
      </c>
      <c r="J170" s="5"/>
      <c r="K170" s="7" t="s">
        <v>1131</v>
      </c>
    </row>
    <row r="171" spans="1:11" x14ac:dyDescent="0.2">
      <c r="A171" s="8" t="s">
        <v>969</v>
      </c>
      <c r="B171" s="5" t="s">
        <v>1313</v>
      </c>
      <c r="C171" s="15">
        <v>27.99</v>
      </c>
      <c r="D171" s="15">
        <v>27.99</v>
      </c>
      <c r="E171" s="5">
        <f>IF('Notes &amp; Assumptions'!$C$4="Regular",D171,C171)</f>
        <v>27.99</v>
      </c>
      <c r="F171" s="15">
        <v>90</v>
      </c>
      <c r="G171" s="5" t="s">
        <v>1130</v>
      </c>
      <c r="H171" s="5">
        <f t="shared" si="4"/>
        <v>0.311</v>
      </c>
      <c r="I171" s="5" t="str">
        <f t="shared" si="5"/>
        <v/>
      </c>
      <c r="J171" s="5"/>
      <c r="K171" s="7" t="s">
        <v>1131</v>
      </c>
    </row>
    <row r="172" spans="1:11" x14ac:dyDescent="0.2">
      <c r="A172" s="8" t="s">
        <v>717</v>
      </c>
      <c r="B172" s="5" t="s">
        <v>1314</v>
      </c>
      <c r="C172" s="15">
        <v>24.99</v>
      </c>
      <c r="D172" s="15">
        <v>24.99</v>
      </c>
      <c r="E172" s="5">
        <f>IF('Notes &amp; Assumptions'!$C$4="Regular",D172,C172)</f>
        <v>24.99</v>
      </c>
      <c r="F172" s="15">
        <v>1000</v>
      </c>
      <c r="G172" s="5" t="s">
        <v>1130</v>
      </c>
      <c r="H172" s="5">
        <f t="shared" si="4"/>
        <v>2.4989999999999998E-2</v>
      </c>
      <c r="I172" s="5" t="str">
        <f t="shared" si="5"/>
        <v/>
      </c>
      <c r="J172" s="5"/>
      <c r="K172" s="7" t="s">
        <v>1131</v>
      </c>
    </row>
    <row r="173" spans="1:11" x14ac:dyDescent="0.2">
      <c r="A173" s="8" t="s">
        <v>445</v>
      </c>
      <c r="B173" s="5" t="s">
        <v>1315</v>
      </c>
      <c r="C173" s="15">
        <v>54.99</v>
      </c>
      <c r="D173" s="15">
        <v>54.99</v>
      </c>
      <c r="E173" s="5">
        <f>IF('Notes &amp; Assumptions'!$C$4="Regular",D173,C173)</f>
        <v>54.99</v>
      </c>
      <c r="F173" s="15">
        <v>110</v>
      </c>
      <c r="G173" s="5" t="s">
        <v>1130</v>
      </c>
      <c r="H173" s="5">
        <f t="shared" si="4"/>
        <v>0.49990909090909091</v>
      </c>
      <c r="I173" s="5" t="str">
        <f t="shared" si="5"/>
        <v/>
      </c>
      <c r="J173" s="5"/>
      <c r="K173" s="7" t="s">
        <v>1131</v>
      </c>
    </row>
    <row r="174" spans="1:11" x14ac:dyDescent="0.2">
      <c r="A174" s="8" t="s">
        <v>803</v>
      </c>
      <c r="B174" s="5" t="s">
        <v>1316</v>
      </c>
      <c r="C174" s="15">
        <v>19.989999999999998</v>
      </c>
      <c r="D174" s="15">
        <v>19.989999999999998</v>
      </c>
      <c r="E174" s="5">
        <f>IF('Notes &amp; Assumptions'!$C$4="Regular",D174,C174)</f>
        <v>19.989999999999998</v>
      </c>
      <c r="F174" s="15">
        <v>1</v>
      </c>
      <c r="G174" s="5" t="s">
        <v>1135</v>
      </c>
      <c r="H174" s="5">
        <f t="shared" si="4"/>
        <v>19.989999999999998</v>
      </c>
      <c r="I174" s="5" t="str">
        <f t="shared" si="5"/>
        <v/>
      </c>
      <c r="J174" s="5"/>
      <c r="K174" s="7" t="s">
        <v>1131</v>
      </c>
    </row>
    <row r="175" spans="1:11" x14ac:dyDescent="0.2">
      <c r="A175" s="8" t="s">
        <v>843</v>
      </c>
      <c r="B175" s="5" t="s">
        <v>1317</v>
      </c>
      <c r="C175" s="15">
        <v>19.989999999999998</v>
      </c>
      <c r="D175" s="15">
        <v>19.989999999999998</v>
      </c>
      <c r="E175" s="5">
        <f>IF('Notes &amp; Assumptions'!$C$4="Regular",D175,C175)</f>
        <v>19.989999999999998</v>
      </c>
      <c r="F175" s="15">
        <v>1</v>
      </c>
      <c r="G175" s="5" t="s">
        <v>1135</v>
      </c>
      <c r="H175" s="5">
        <f t="shared" si="4"/>
        <v>19.989999999999998</v>
      </c>
      <c r="I175" s="5" t="str">
        <f t="shared" si="5"/>
        <v/>
      </c>
      <c r="J175" s="5"/>
      <c r="K175" s="7" t="s">
        <v>1131</v>
      </c>
    </row>
    <row r="176" spans="1:11" x14ac:dyDescent="0.2">
      <c r="A176" s="8" t="s">
        <v>597</v>
      </c>
      <c r="B176" s="5" t="s">
        <v>1318</v>
      </c>
      <c r="C176" s="15">
        <v>72.989999999999995</v>
      </c>
      <c r="D176" s="15">
        <v>72.989999999999995</v>
      </c>
      <c r="E176" s="5">
        <f>IF('Notes &amp; Assumptions'!$C$4="Regular",D176,C176)</f>
        <v>72.989999999999995</v>
      </c>
      <c r="F176" s="15">
        <v>300</v>
      </c>
      <c r="G176" s="5" t="s">
        <v>1130</v>
      </c>
      <c r="H176" s="5">
        <f t="shared" si="4"/>
        <v>0.24329999999999999</v>
      </c>
      <c r="I176" s="5" t="str">
        <f t="shared" si="5"/>
        <v/>
      </c>
      <c r="J176" s="5"/>
      <c r="K176" s="7" t="s">
        <v>1131</v>
      </c>
    </row>
    <row r="177" spans="1:11" x14ac:dyDescent="0.2">
      <c r="A177" s="8" t="s">
        <v>641</v>
      </c>
      <c r="B177" s="5" t="s">
        <v>1319</v>
      </c>
      <c r="C177" s="15">
        <v>38.99</v>
      </c>
      <c r="D177" s="15">
        <v>38.99</v>
      </c>
      <c r="E177" s="5">
        <f>IF('Notes &amp; Assumptions'!$C$4="Regular",D177,C177)</f>
        <v>38.99</v>
      </c>
      <c r="F177" s="15">
        <v>1</v>
      </c>
      <c r="G177" s="5" t="s">
        <v>1135</v>
      </c>
      <c r="H177" s="5">
        <f t="shared" si="4"/>
        <v>38.99</v>
      </c>
      <c r="I177" s="5" t="str">
        <f t="shared" si="5"/>
        <v/>
      </c>
      <c r="J177" s="5"/>
      <c r="K177" s="7" t="s">
        <v>1131</v>
      </c>
    </row>
    <row r="178" spans="1:11" x14ac:dyDescent="0.2">
      <c r="A178" s="8" t="s">
        <v>479</v>
      </c>
      <c r="B178" s="5" t="s">
        <v>1320</v>
      </c>
      <c r="C178" s="15">
        <v>26.99</v>
      </c>
      <c r="D178" s="15">
        <v>26.99</v>
      </c>
      <c r="E178" s="5">
        <f>IF('Notes &amp; Assumptions'!$C$4="Regular",D178,C178)</f>
        <v>26.99</v>
      </c>
      <c r="F178" s="15">
        <v>4</v>
      </c>
      <c r="G178" s="5" t="s">
        <v>1135</v>
      </c>
      <c r="H178" s="5">
        <f t="shared" si="4"/>
        <v>6.7474999999999996</v>
      </c>
      <c r="I178" s="5" t="str">
        <f t="shared" si="5"/>
        <v/>
      </c>
      <c r="J178" s="5"/>
      <c r="K178" s="7" t="s">
        <v>1131</v>
      </c>
    </row>
    <row r="179" spans="1:11" x14ac:dyDescent="0.2">
      <c r="A179" s="8" t="s">
        <v>1023</v>
      </c>
      <c r="B179" s="5" t="s">
        <v>1321</v>
      </c>
      <c r="C179" s="15">
        <v>59.99</v>
      </c>
      <c r="D179" s="15">
        <v>59.99</v>
      </c>
      <c r="E179" s="5">
        <f>IF('Notes &amp; Assumptions'!$C$4="Regular",D179,C179)</f>
        <v>59.99</v>
      </c>
      <c r="F179" s="15">
        <v>100</v>
      </c>
      <c r="G179" s="5" t="s">
        <v>1130</v>
      </c>
      <c r="H179" s="5">
        <f t="shared" si="4"/>
        <v>0.59989999999999999</v>
      </c>
      <c r="I179" s="5" t="str">
        <f t="shared" si="5"/>
        <v/>
      </c>
      <c r="J179" s="5"/>
      <c r="K179" s="7" t="s">
        <v>1131</v>
      </c>
    </row>
    <row r="180" spans="1:11" x14ac:dyDescent="0.2">
      <c r="A180" s="8" t="s">
        <v>713</v>
      </c>
      <c r="B180" s="5" t="s">
        <v>1322</v>
      </c>
      <c r="C180" s="15">
        <v>104.99</v>
      </c>
      <c r="D180" s="15">
        <v>104.99</v>
      </c>
      <c r="E180" s="5">
        <f>IF('Notes &amp; Assumptions'!$C$4="Regular",D180,C180)</f>
        <v>104.99</v>
      </c>
      <c r="F180" s="15">
        <v>400</v>
      </c>
      <c r="G180" s="5" t="s">
        <v>1130</v>
      </c>
      <c r="H180" s="5">
        <f t="shared" si="4"/>
        <v>0.26247500000000001</v>
      </c>
      <c r="I180" s="5" t="str">
        <f t="shared" si="5"/>
        <v/>
      </c>
      <c r="J180" s="5"/>
      <c r="K180" s="7" t="s">
        <v>1131</v>
      </c>
    </row>
    <row r="181" spans="1:11" x14ac:dyDescent="0.2">
      <c r="A181" s="8" t="s">
        <v>492</v>
      </c>
      <c r="B181" s="5" t="s">
        <v>1323</v>
      </c>
      <c r="C181" s="15">
        <v>49.99</v>
      </c>
      <c r="D181" s="15">
        <v>49.99</v>
      </c>
      <c r="E181" s="5">
        <f>IF('Notes &amp; Assumptions'!$C$4="Regular",D181,C181)</f>
        <v>49.99</v>
      </c>
      <c r="F181" s="15">
        <v>60</v>
      </c>
      <c r="G181" s="5" t="s">
        <v>1130</v>
      </c>
      <c r="H181" s="5">
        <f t="shared" si="4"/>
        <v>0.83316666666666672</v>
      </c>
      <c r="I181" s="5" t="str">
        <f t="shared" si="5"/>
        <v/>
      </c>
      <c r="J181" s="5" t="s">
        <v>647</v>
      </c>
      <c r="K181" s="7" t="s">
        <v>1131</v>
      </c>
    </row>
    <row r="182" spans="1:11" x14ac:dyDescent="0.2">
      <c r="A182" s="8" t="s">
        <v>443</v>
      </c>
      <c r="B182" s="5" t="s">
        <v>1324</v>
      </c>
      <c r="C182" s="15">
        <v>24.99</v>
      </c>
      <c r="D182" s="15">
        <v>24.99</v>
      </c>
      <c r="E182" s="5">
        <f>IF('Notes &amp; Assumptions'!$C$4="Regular",D182,C182)</f>
        <v>24.99</v>
      </c>
      <c r="F182" s="15">
        <v>1</v>
      </c>
      <c r="G182" s="5" t="s">
        <v>1325</v>
      </c>
      <c r="H182" s="5">
        <f t="shared" si="4"/>
        <v>24.99</v>
      </c>
      <c r="I182" s="5" t="str">
        <f t="shared" si="5"/>
        <v/>
      </c>
      <c r="J182" s="5"/>
      <c r="K182" s="7" t="s">
        <v>1131</v>
      </c>
    </row>
    <row r="183" spans="1:11" x14ac:dyDescent="0.2">
      <c r="A183" s="8" t="s">
        <v>512</v>
      </c>
      <c r="B183" s="5" t="s">
        <v>1326</v>
      </c>
      <c r="C183" s="15">
        <v>49.99</v>
      </c>
      <c r="D183" s="15">
        <v>49.99</v>
      </c>
      <c r="E183" s="5">
        <f>IF('Notes &amp; Assumptions'!$C$4="Regular",D183,C183)</f>
        <v>49.99</v>
      </c>
      <c r="F183" s="15">
        <v>250</v>
      </c>
      <c r="G183" s="5" t="s">
        <v>1130</v>
      </c>
      <c r="H183" s="5">
        <f t="shared" si="4"/>
        <v>0.19996</v>
      </c>
      <c r="I183" s="5" t="str">
        <f t="shared" si="5"/>
        <v/>
      </c>
      <c r="J183" s="5"/>
      <c r="K183" s="7" t="s">
        <v>1131</v>
      </c>
    </row>
    <row r="184" spans="1:11" x14ac:dyDescent="0.2">
      <c r="A184" s="8" t="s">
        <v>604</v>
      </c>
      <c r="B184" s="5" t="s">
        <v>1327</v>
      </c>
      <c r="C184" s="15">
        <v>25.99</v>
      </c>
      <c r="D184" s="15">
        <v>25.99</v>
      </c>
      <c r="E184" s="5">
        <f>IF('Notes &amp; Assumptions'!$C$4="Regular",D184,C184)</f>
        <v>25.99</v>
      </c>
      <c r="F184" s="15">
        <v>2</v>
      </c>
      <c r="G184" s="5" t="s">
        <v>1135</v>
      </c>
      <c r="H184" s="5">
        <f t="shared" si="4"/>
        <v>12.994999999999999</v>
      </c>
      <c r="I184" s="5" t="str">
        <f t="shared" si="5"/>
        <v/>
      </c>
      <c r="J184" s="5"/>
      <c r="K184" s="7" t="s">
        <v>1131</v>
      </c>
    </row>
    <row r="185" spans="1:11" x14ac:dyDescent="0.2">
      <c r="A185" s="8" t="s">
        <v>653</v>
      </c>
      <c r="B185" s="5" t="s">
        <v>1328</v>
      </c>
      <c r="C185" s="15">
        <v>59.99</v>
      </c>
      <c r="D185" s="15">
        <v>59.99</v>
      </c>
      <c r="E185" s="5">
        <f>IF('Notes &amp; Assumptions'!$C$4="Regular",D185,C185)</f>
        <v>59.99</v>
      </c>
      <c r="F185" s="15">
        <v>200</v>
      </c>
      <c r="G185" s="5" t="s">
        <v>1130</v>
      </c>
      <c r="H185" s="5">
        <f t="shared" si="4"/>
        <v>0.29994999999999999</v>
      </c>
      <c r="I185" s="5" t="str">
        <f t="shared" si="5"/>
        <v/>
      </c>
      <c r="J185" s="5"/>
      <c r="K185" s="7" t="s">
        <v>1131</v>
      </c>
    </row>
    <row r="186" spans="1:11" x14ac:dyDescent="0.2">
      <c r="A186" s="8" t="s">
        <v>385</v>
      </c>
      <c r="B186" s="5" t="s">
        <v>1329</v>
      </c>
      <c r="C186" s="15">
        <v>45</v>
      </c>
      <c r="D186" s="15">
        <v>45</v>
      </c>
      <c r="E186" s="5">
        <f>IF('Notes &amp; Assumptions'!$C$4="Regular",D186,C186)</f>
        <v>45</v>
      </c>
      <c r="F186" s="15">
        <v>180</v>
      </c>
      <c r="G186" s="5" t="s">
        <v>1130</v>
      </c>
      <c r="H186" s="5">
        <f t="shared" si="4"/>
        <v>0.25</v>
      </c>
      <c r="I186" s="5" t="str">
        <f t="shared" si="5"/>
        <v/>
      </c>
      <c r="J186" s="5"/>
      <c r="K186" s="7" t="s">
        <v>1131</v>
      </c>
    </row>
    <row r="187" spans="1:11" x14ac:dyDescent="0.2">
      <c r="A187" s="8" t="s">
        <v>481</v>
      </c>
      <c r="B187" s="5" t="s">
        <v>1330</v>
      </c>
      <c r="C187" s="15">
        <v>26.99</v>
      </c>
      <c r="D187" s="15">
        <v>26.99</v>
      </c>
      <c r="E187" s="5">
        <f>IF('Notes &amp; Assumptions'!$C$4="Regular",D187,C187)</f>
        <v>26.99</v>
      </c>
      <c r="F187" s="15">
        <v>1</v>
      </c>
      <c r="G187" s="5" t="s">
        <v>1135</v>
      </c>
      <c r="H187" s="5">
        <f t="shared" si="4"/>
        <v>26.99</v>
      </c>
      <c r="I187" s="5" t="str">
        <f t="shared" si="5"/>
        <v/>
      </c>
      <c r="J187" s="5"/>
      <c r="K187" s="7" t="s">
        <v>1131</v>
      </c>
    </row>
    <row r="188" spans="1:11" x14ac:dyDescent="0.2">
      <c r="A188" s="8" t="s">
        <v>483</v>
      </c>
      <c r="B188" s="5" t="s">
        <v>1331</v>
      </c>
      <c r="C188" s="15">
        <v>17.989999999999998</v>
      </c>
      <c r="D188" s="15">
        <v>17.989999999999998</v>
      </c>
      <c r="E188" s="5">
        <f>IF('Notes &amp; Assumptions'!$C$4="Regular",D188,C188)</f>
        <v>17.989999999999998</v>
      </c>
      <c r="F188" s="15">
        <v>70</v>
      </c>
      <c r="G188" s="5" t="s">
        <v>1130</v>
      </c>
      <c r="H188" s="5">
        <f t="shared" si="4"/>
        <v>0.25699999999999995</v>
      </c>
      <c r="I188" s="5" t="str">
        <f t="shared" si="5"/>
        <v/>
      </c>
      <c r="J188" s="5" t="s">
        <v>484</v>
      </c>
      <c r="K188" s="7" t="s">
        <v>1131</v>
      </c>
    </row>
    <row r="189" spans="1:11" x14ac:dyDescent="0.2">
      <c r="A189" s="8" t="s">
        <v>506</v>
      </c>
      <c r="B189" s="5" t="s">
        <v>1332</v>
      </c>
      <c r="C189" s="15">
        <v>37.99</v>
      </c>
      <c r="D189" s="15">
        <v>37.99</v>
      </c>
      <c r="E189" s="5">
        <f>IF('Notes &amp; Assumptions'!$C$4="Regular",D189,C189)</f>
        <v>37.99</v>
      </c>
      <c r="F189" s="15">
        <v>1</v>
      </c>
      <c r="G189" s="5" t="s">
        <v>1135</v>
      </c>
      <c r="H189" s="5">
        <f t="shared" si="4"/>
        <v>37.99</v>
      </c>
      <c r="I189" s="5" t="str">
        <f t="shared" si="5"/>
        <v/>
      </c>
      <c r="J189" s="5"/>
      <c r="K189" s="7" t="s">
        <v>1131</v>
      </c>
    </row>
    <row r="190" spans="1:11" x14ac:dyDescent="0.2">
      <c r="A190" s="8" t="s">
        <v>1088</v>
      </c>
      <c r="B190" s="5" t="s">
        <v>1333</v>
      </c>
      <c r="C190" s="15">
        <v>109.99</v>
      </c>
      <c r="D190" s="15">
        <v>109.99</v>
      </c>
      <c r="E190" s="5">
        <f>IF('Notes &amp; Assumptions'!$C$4="Regular",D190,C190)</f>
        <v>109.99</v>
      </c>
      <c r="F190" s="15">
        <v>100</v>
      </c>
      <c r="G190" s="5" t="s">
        <v>1133</v>
      </c>
      <c r="H190" s="5">
        <f t="shared" si="4"/>
        <v>1.0998999999999999</v>
      </c>
      <c r="I190" s="5" t="str">
        <f t="shared" si="5"/>
        <v/>
      </c>
      <c r="J190" s="5"/>
      <c r="K190" s="7" t="s">
        <v>1131</v>
      </c>
    </row>
    <row r="191" spans="1:11" x14ac:dyDescent="0.2">
      <c r="A191" s="8" t="s">
        <v>822</v>
      </c>
      <c r="B191" s="5" t="s">
        <v>1334</v>
      </c>
      <c r="C191" s="15">
        <v>29.99</v>
      </c>
      <c r="D191" s="15">
        <v>29.99</v>
      </c>
      <c r="E191" s="5">
        <f>IF('Notes &amp; Assumptions'!$C$4="Regular",D191,C191)</f>
        <v>29.99</v>
      </c>
      <c r="F191" s="15">
        <v>55</v>
      </c>
      <c r="G191" s="5" t="s">
        <v>1130</v>
      </c>
      <c r="H191" s="5">
        <f t="shared" si="4"/>
        <v>0.54527272727272724</v>
      </c>
      <c r="I191" s="5" t="str">
        <f t="shared" si="5"/>
        <v/>
      </c>
      <c r="J191" s="5"/>
      <c r="K191" s="7" t="s">
        <v>1131</v>
      </c>
    </row>
    <row r="192" spans="1:11" x14ac:dyDescent="0.2">
      <c r="A192" s="8" t="s">
        <v>978</v>
      </c>
      <c r="B192" s="5" t="s">
        <v>1335</v>
      </c>
      <c r="C192" s="15">
        <v>47.99</v>
      </c>
      <c r="D192" s="15">
        <v>47.99</v>
      </c>
      <c r="E192" s="5">
        <f>IF('Notes &amp; Assumptions'!$C$4="Regular",D192,C192)</f>
        <v>47.99</v>
      </c>
      <c r="F192" s="15">
        <v>40</v>
      </c>
      <c r="G192" s="5" t="s">
        <v>1130</v>
      </c>
      <c r="H192" s="5">
        <f t="shared" si="4"/>
        <v>1.1997500000000001</v>
      </c>
      <c r="I192" s="5" t="str">
        <f t="shared" si="5"/>
        <v/>
      </c>
      <c r="J192" s="5"/>
      <c r="K192" s="7" t="s">
        <v>1131</v>
      </c>
    </row>
    <row r="193" spans="1:11" x14ac:dyDescent="0.2">
      <c r="A193" s="8" t="s">
        <v>467</v>
      </c>
      <c r="B193" s="5" t="s">
        <v>1336</v>
      </c>
      <c r="C193" s="15">
        <v>84.99</v>
      </c>
      <c r="D193" s="15">
        <v>84.99</v>
      </c>
      <c r="E193" s="5">
        <f>IF('Notes &amp; Assumptions'!$C$4="Regular",D193,C193)</f>
        <v>84.99</v>
      </c>
      <c r="F193" s="15">
        <v>150</v>
      </c>
      <c r="G193" s="5" t="s">
        <v>1130</v>
      </c>
      <c r="H193" s="5">
        <f t="shared" si="4"/>
        <v>0.56659999999999999</v>
      </c>
      <c r="I193" s="5" t="str">
        <f t="shared" si="5"/>
        <v/>
      </c>
      <c r="J193" s="5"/>
      <c r="K193" s="7" t="s">
        <v>1131</v>
      </c>
    </row>
    <row r="194" spans="1:11" x14ac:dyDescent="0.2">
      <c r="A194" s="8" t="s">
        <v>363</v>
      </c>
      <c r="B194" s="5" t="s">
        <v>1337</v>
      </c>
      <c r="C194" s="15">
        <v>29.99</v>
      </c>
      <c r="D194" s="15">
        <v>29.99</v>
      </c>
      <c r="E194" s="5">
        <f>IF('Notes &amp; Assumptions'!$C$4="Regular",D194,C194)</f>
        <v>29.99</v>
      </c>
      <c r="F194" s="15">
        <v>50</v>
      </c>
      <c r="G194" s="5" t="s">
        <v>1133</v>
      </c>
      <c r="H194" s="5">
        <f t="shared" ref="H194:H208" si="6">E194/F194</f>
        <v>0.5998</v>
      </c>
      <c r="I194" s="5" t="str">
        <f t="shared" ref="I194:I208" si="7">IF(C194&lt;D194,"Yes","")</f>
        <v/>
      </c>
      <c r="J194" s="5"/>
      <c r="K194" s="7" t="s">
        <v>1131</v>
      </c>
    </row>
    <row r="195" spans="1:11" x14ac:dyDescent="0.2">
      <c r="A195" s="8" t="s">
        <v>551</v>
      </c>
      <c r="B195" s="5" t="s">
        <v>1338</v>
      </c>
      <c r="C195" s="15">
        <v>86.99</v>
      </c>
      <c r="D195" s="15">
        <v>86.99</v>
      </c>
      <c r="E195" s="5">
        <f>IF('Notes &amp; Assumptions'!$C$4="Regular",D195,C195)</f>
        <v>86.99</v>
      </c>
      <c r="F195" s="15">
        <v>43</v>
      </c>
      <c r="G195" s="5" t="s">
        <v>1130</v>
      </c>
      <c r="H195" s="5">
        <f t="shared" si="6"/>
        <v>2.0230232558139534</v>
      </c>
      <c r="I195" s="5" t="str">
        <f t="shared" si="7"/>
        <v/>
      </c>
      <c r="J195" s="5" t="s">
        <v>1339</v>
      </c>
      <c r="K195" s="7" t="s">
        <v>1131</v>
      </c>
    </row>
    <row r="196" spans="1:11" x14ac:dyDescent="0.2">
      <c r="A196" s="8" t="s">
        <v>1113</v>
      </c>
      <c r="B196" s="5" t="s">
        <v>1340</v>
      </c>
      <c r="C196" s="15">
        <v>59.99</v>
      </c>
      <c r="D196" s="15">
        <v>59.99</v>
      </c>
      <c r="E196" s="5">
        <f>IF('Notes &amp; Assumptions'!$C$4="Regular",D196,C196)</f>
        <v>59.99</v>
      </c>
      <c r="F196" s="15">
        <v>500</v>
      </c>
      <c r="G196" s="5" t="s">
        <v>1133</v>
      </c>
      <c r="H196" s="5">
        <f t="shared" si="6"/>
        <v>0.11998</v>
      </c>
      <c r="I196" s="5" t="str">
        <f t="shared" si="7"/>
        <v/>
      </c>
      <c r="J196" s="5"/>
      <c r="K196" s="7" t="s">
        <v>1131</v>
      </c>
    </row>
    <row r="197" spans="1:11" x14ac:dyDescent="0.2">
      <c r="A197" s="8" t="s">
        <v>1103</v>
      </c>
      <c r="B197" s="5" t="s">
        <v>1341</v>
      </c>
      <c r="C197" s="15">
        <v>74.989999999999995</v>
      </c>
      <c r="D197" s="15">
        <v>74.989999999999995</v>
      </c>
      <c r="E197" s="5">
        <f>IF('Notes &amp; Assumptions'!$C$4="Regular",D197,C197)</f>
        <v>74.989999999999995</v>
      </c>
      <c r="F197" s="15">
        <v>240</v>
      </c>
      <c r="G197" s="5" t="s">
        <v>1130</v>
      </c>
      <c r="H197" s="5">
        <f t="shared" si="6"/>
        <v>0.31245833333333334</v>
      </c>
      <c r="I197" s="5" t="str">
        <f t="shared" si="7"/>
        <v/>
      </c>
      <c r="J197" s="5"/>
      <c r="K197" s="7" t="s">
        <v>1131</v>
      </c>
    </row>
    <row r="198" spans="1:11" x14ac:dyDescent="0.2">
      <c r="A198" s="8" t="s">
        <v>347</v>
      </c>
      <c r="B198" s="5" t="s">
        <v>1342</v>
      </c>
      <c r="C198" s="15">
        <v>64.989999999999995</v>
      </c>
      <c r="D198" s="15">
        <v>64.989999999999995</v>
      </c>
      <c r="E198" s="5">
        <f>IF('Notes &amp; Assumptions'!$C$4="Regular",D198,C198)</f>
        <v>64.989999999999995</v>
      </c>
      <c r="F198" s="15">
        <v>250</v>
      </c>
      <c r="G198" s="5" t="s">
        <v>1130</v>
      </c>
      <c r="H198" s="5">
        <f t="shared" si="6"/>
        <v>0.25995999999999997</v>
      </c>
      <c r="I198" s="5" t="str">
        <f t="shared" si="7"/>
        <v/>
      </c>
      <c r="J198" s="5"/>
      <c r="K198" s="7" t="s">
        <v>1131</v>
      </c>
    </row>
    <row r="199" spans="1:11" x14ac:dyDescent="0.2">
      <c r="A199" s="8" t="s">
        <v>400</v>
      </c>
      <c r="B199" s="5" t="s">
        <v>1343</v>
      </c>
      <c r="C199" s="15">
        <v>25.99</v>
      </c>
      <c r="D199" s="15">
        <v>25.99</v>
      </c>
      <c r="E199" s="5">
        <f>IF('Notes &amp; Assumptions'!$C$4="Regular",D199,C199)</f>
        <v>25.99</v>
      </c>
      <c r="F199" s="15">
        <v>750</v>
      </c>
      <c r="G199" s="5" t="s">
        <v>1133</v>
      </c>
      <c r="H199" s="5">
        <f t="shared" si="6"/>
        <v>3.4653333333333335E-2</v>
      </c>
      <c r="I199" s="5" t="str">
        <f t="shared" si="7"/>
        <v/>
      </c>
      <c r="J199" s="5"/>
      <c r="K199" s="7" t="s">
        <v>1131</v>
      </c>
    </row>
    <row r="200" spans="1:11" x14ac:dyDescent="0.2">
      <c r="A200" s="8" t="s">
        <v>357</v>
      </c>
      <c r="B200" s="5" t="s">
        <v>1344</v>
      </c>
      <c r="C200" s="15">
        <v>33.99</v>
      </c>
      <c r="D200" s="15">
        <v>33.99</v>
      </c>
      <c r="E200" s="5">
        <f>IF('Notes &amp; Assumptions'!$C$4="Regular",D200,C200)</f>
        <v>33.99</v>
      </c>
      <c r="F200" s="15">
        <v>1000</v>
      </c>
      <c r="G200" s="5" t="s">
        <v>1130</v>
      </c>
      <c r="H200" s="5">
        <f t="shared" si="6"/>
        <v>3.3989999999999999E-2</v>
      </c>
      <c r="I200" s="5" t="str">
        <f t="shared" si="7"/>
        <v/>
      </c>
      <c r="J200" s="5"/>
      <c r="K200" s="7" t="s">
        <v>1131</v>
      </c>
    </row>
    <row r="201" spans="1:11" x14ac:dyDescent="0.2">
      <c r="A201" s="8" t="s">
        <v>744</v>
      </c>
      <c r="B201" s="5" t="s">
        <v>1345</v>
      </c>
      <c r="C201" s="15">
        <v>28.88</v>
      </c>
      <c r="D201" s="15">
        <v>28.88</v>
      </c>
      <c r="E201" s="5">
        <f>IF('Notes &amp; Assumptions'!$C$4="Regular",D201,C201)</f>
        <v>28.88</v>
      </c>
      <c r="F201" s="15">
        <v>1</v>
      </c>
      <c r="G201" s="5" t="s">
        <v>1135</v>
      </c>
      <c r="H201" s="5">
        <f t="shared" si="6"/>
        <v>28.88</v>
      </c>
      <c r="I201" s="5" t="str">
        <f t="shared" si="7"/>
        <v/>
      </c>
      <c r="J201" s="5" t="s">
        <v>432</v>
      </c>
      <c r="K201" s="7" t="s">
        <v>1131</v>
      </c>
    </row>
    <row r="202" spans="1:11" x14ac:dyDescent="0.2">
      <c r="A202" s="8" t="s">
        <v>948</v>
      </c>
      <c r="B202" s="5" t="s">
        <v>1346</v>
      </c>
      <c r="C202" s="15">
        <v>36</v>
      </c>
      <c r="D202" s="15">
        <v>36</v>
      </c>
      <c r="E202" s="5">
        <f>IF('Notes &amp; Assumptions'!$C$4="Regular",D202,C202)</f>
        <v>36</v>
      </c>
      <c r="F202" s="15">
        <v>1</v>
      </c>
      <c r="G202" s="5" t="s">
        <v>1135</v>
      </c>
      <c r="H202" s="5">
        <f t="shared" si="6"/>
        <v>36</v>
      </c>
      <c r="I202" s="5" t="str">
        <f t="shared" si="7"/>
        <v/>
      </c>
      <c r="J202" s="5" t="s">
        <v>432</v>
      </c>
      <c r="K202" s="7" t="s">
        <v>1131</v>
      </c>
    </row>
    <row r="203" spans="1:11" x14ac:dyDescent="0.2">
      <c r="A203" s="8" t="s">
        <v>1050</v>
      </c>
      <c r="B203" s="5" t="s">
        <v>1347</v>
      </c>
      <c r="C203" s="15">
        <v>51.99</v>
      </c>
      <c r="D203" s="15">
        <v>61.99</v>
      </c>
      <c r="E203" s="5">
        <f>IF('Notes &amp; Assumptions'!$C$4="Regular",D203,C203)</f>
        <v>51.99</v>
      </c>
      <c r="F203" s="15">
        <v>210</v>
      </c>
      <c r="G203" s="5" t="s">
        <v>1130</v>
      </c>
      <c r="H203" s="5">
        <f t="shared" si="6"/>
        <v>0.24757142857142858</v>
      </c>
      <c r="I203" s="5" t="str">
        <f t="shared" si="7"/>
        <v>Yes</v>
      </c>
      <c r="J203" s="5"/>
      <c r="K203" s="7" t="s">
        <v>1131</v>
      </c>
    </row>
    <row r="204" spans="1:11" x14ac:dyDescent="0.2">
      <c r="A204" s="8" t="s">
        <v>338</v>
      </c>
      <c r="B204" s="5" t="s">
        <v>1348</v>
      </c>
      <c r="C204" s="15">
        <v>22.99</v>
      </c>
      <c r="D204" s="15">
        <v>22.99</v>
      </c>
      <c r="E204" s="5">
        <f>IF('Notes &amp; Assumptions'!$C$4="Regular",D204,C204)</f>
        <v>22.99</v>
      </c>
      <c r="F204" s="15">
        <v>350</v>
      </c>
      <c r="G204" s="5" t="s">
        <v>1130</v>
      </c>
      <c r="H204" s="5">
        <f t="shared" si="6"/>
        <v>6.5685714285714278E-2</v>
      </c>
      <c r="I204" s="5" t="str">
        <f t="shared" si="7"/>
        <v/>
      </c>
      <c r="J204" s="5"/>
      <c r="K204" s="7" t="s">
        <v>1131</v>
      </c>
    </row>
    <row r="205" spans="1:11" x14ac:dyDescent="0.2">
      <c r="A205" s="8" t="s">
        <v>1043</v>
      </c>
      <c r="B205" s="5" t="s">
        <v>1349</v>
      </c>
      <c r="C205" s="15">
        <v>37.99</v>
      </c>
      <c r="D205" s="15">
        <v>37.99</v>
      </c>
      <c r="E205" s="5">
        <f>IF('Notes &amp; Assumptions'!$C$4="Regular",D205,C205)</f>
        <v>37.99</v>
      </c>
      <c r="F205" s="15">
        <v>1</v>
      </c>
      <c r="G205" s="5" t="s">
        <v>1135</v>
      </c>
      <c r="H205" s="5">
        <f t="shared" si="6"/>
        <v>37.99</v>
      </c>
      <c r="I205" s="5" t="str">
        <f t="shared" si="7"/>
        <v/>
      </c>
      <c r="J205" s="5"/>
      <c r="K205" s="7" t="s">
        <v>1131</v>
      </c>
    </row>
    <row r="206" spans="1:11" x14ac:dyDescent="0.2">
      <c r="A206" s="8" t="s">
        <v>526</v>
      </c>
      <c r="B206" s="5" t="s">
        <v>1350</v>
      </c>
      <c r="C206" s="15">
        <v>47.99</v>
      </c>
      <c r="D206" s="15">
        <v>47.99</v>
      </c>
      <c r="E206" s="5">
        <f>IF('Notes &amp; Assumptions'!$C$4="Regular",D206,C206)</f>
        <v>47.99</v>
      </c>
      <c r="F206" s="15">
        <v>500</v>
      </c>
      <c r="G206" s="5" t="s">
        <v>1130</v>
      </c>
      <c r="H206" s="5">
        <f t="shared" si="6"/>
        <v>9.598000000000001E-2</v>
      </c>
      <c r="I206" s="5" t="str">
        <f t="shared" si="7"/>
        <v/>
      </c>
      <c r="J206" s="5"/>
      <c r="K206" s="7" t="s">
        <v>1131</v>
      </c>
    </row>
    <row r="207" spans="1:11" x14ac:dyDescent="0.2">
      <c r="A207" s="8" t="s">
        <v>811</v>
      </c>
      <c r="B207" s="5" t="s">
        <v>1351</v>
      </c>
      <c r="C207" s="15">
        <v>59.99</v>
      </c>
      <c r="D207" s="15">
        <v>59.99</v>
      </c>
      <c r="E207" s="5">
        <f>IF('Notes &amp; Assumptions'!$C$4="Regular",D207,C207)</f>
        <v>59.99</v>
      </c>
      <c r="F207" s="15">
        <v>250</v>
      </c>
      <c r="G207" s="5" t="s">
        <v>1133</v>
      </c>
      <c r="H207" s="5">
        <f t="shared" si="6"/>
        <v>0.23996000000000001</v>
      </c>
      <c r="I207" s="5" t="str">
        <f t="shared" si="7"/>
        <v/>
      </c>
      <c r="J207" s="5"/>
      <c r="K207" s="7" t="s">
        <v>1131</v>
      </c>
    </row>
    <row r="208" spans="1:11" x14ac:dyDescent="0.2">
      <c r="A208" s="8" t="s">
        <v>458</v>
      </c>
      <c r="B208" s="5" t="s">
        <v>1352</v>
      </c>
      <c r="C208" s="15">
        <v>99.99</v>
      </c>
      <c r="D208" s="15">
        <v>114.99</v>
      </c>
      <c r="E208" s="5">
        <f>IF('Notes &amp; Assumptions'!$C$4="Regular",D208,C208)</f>
        <v>99.99</v>
      </c>
      <c r="F208" s="15">
        <v>250</v>
      </c>
      <c r="G208" s="5" t="s">
        <v>1133</v>
      </c>
      <c r="H208" s="5">
        <f t="shared" si="6"/>
        <v>0.39995999999999998</v>
      </c>
      <c r="I208" s="5" t="str">
        <f t="shared" si="7"/>
        <v>Yes</v>
      </c>
      <c r="J208" s="5"/>
      <c r="K208" s="7" t="s">
        <v>1131</v>
      </c>
    </row>
  </sheetData>
  <autoFilter ref="A1:K208" xr:uid="{00000000-0009-0000-0000-000003000000}"/>
  <hyperlinks>
    <hyperlink ref="K2" r:id="rId1" xr:uid="{00000000-0004-0000-0300-000000000000}"/>
    <hyperlink ref="K3" r:id="rId2" xr:uid="{00000000-0004-0000-0300-000001000000}"/>
    <hyperlink ref="K4" r:id="rId3" xr:uid="{00000000-0004-0000-0300-000002000000}"/>
    <hyperlink ref="K5" r:id="rId4" xr:uid="{00000000-0004-0000-0300-000003000000}"/>
    <hyperlink ref="K6" r:id="rId5" xr:uid="{00000000-0004-0000-0300-000004000000}"/>
    <hyperlink ref="K7" r:id="rId6" xr:uid="{00000000-0004-0000-0300-000005000000}"/>
    <hyperlink ref="K8" r:id="rId7" xr:uid="{00000000-0004-0000-0300-000006000000}"/>
    <hyperlink ref="K9" r:id="rId8" xr:uid="{00000000-0004-0000-0300-000007000000}"/>
    <hyperlink ref="K10" r:id="rId9" xr:uid="{00000000-0004-0000-0300-000008000000}"/>
    <hyperlink ref="K11" r:id="rId10" xr:uid="{00000000-0004-0000-0300-000009000000}"/>
    <hyperlink ref="K12" r:id="rId11" xr:uid="{00000000-0004-0000-0300-00000A000000}"/>
    <hyperlink ref="K13" r:id="rId12" xr:uid="{00000000-0004-0000-0300-00000B000000}"/>
    <hyperlink ref="K14" r:id="rId13" xr:uid="{00000000-0004-0000-0300-00000C000000}"/>
    <hyperlink ref="K15" r:id="rId14" xr:uid="{00000000-0004-0000-0300-00000D000000}"/>
    <hyperlink ref="K16" r:id="rId15" xr:uid="{00000000-0004-0000-0300-00000E000000}"/>
    <hyperlink ref="K17" r:id="rId16" xr:uid="{00000000-0004-0000-0300-00000F000000}"/>
    <hyperlink ref="K18" r:id="rId17" xr:uid="{00000000-0004-0000-0300-000010000000}"/>
    <hyperlink ref="K19" r:id="rId18" xr:uid="{00000000-0004-0000-0300-000011000000}"/>
    <hyperlink ref="K20" r:id="rId19" xr:uid="{00000000-0004-0000-0300-000012000000}"/>
    <hyperlink ref="K21" r:id="rId20" xr:uid="{00000000-0004-0000-0300-000013000000}"/>
    <hyperlink ref="K22" r:id="rId21" xr:uid="{00000000-0004-0000-0300-000014000000}"/>
    <hyperlink ref="K23" r:id="rId22" xr:uid="{00000000-0004-0000-0300-000015000000}"/>
    <hyperlink ref="K24" r:id="rId23" xr:uid="{00000000-0004-0000-0300-000016000000}"/>
    <hyperlink ref="K25" r:id="rId24" xr:uid="{00000000-0004-0000-0300-000017000000}"/>
    <hyperlink ref="K26" r:id="rId25" xr:uid="{00000000-0004-0000-0300-000018000000}"/>
    <hyperlink ref="K27" r:id="rId26" xr:uid="{00000000-0004-0000-0300-000019000000}"/>
    <hyperlink ref="K28" r:id="rId27" xr:uid="{00000000-0004-0000-0300-00001A000000}"/>
    <hyperlink ref="K29" r:id="rId28" xr:uid="{00000000-0004-0000-0300-00001B000000}"/>
    <hyperlink ref="K30" r:id="rId29" xr:uid="{00000000-0004-0000-0300-00001C000000}"/>
    <hyperlink ref="K31" r:id="rId30" xr:uid="{00000000-0004-0000-0300-00001D000000}"/>
    <hyperlink ref="K32" r:id="rId31" xr:uid="{00000000-0004-0000-0300-00001E000000}"/>
    <hyperlink ref="K33" r:id="rId32" xr:uid="{00000000-0004-0000-0300-00001F000000}"/>
    <hyperlink ref="K34" r:id="rId33" xr:uid="{00000000-0004-0000-0300-000020000000}"/>
    <hyperlink ref="K35" r:id="rId34" xr:uid="{00000000-0004-0000-0300-000021000000}"/>
    <hyperlink ref="K36" r:id="rId35" xr:uid="{00000000-0004-0000-0300-000022000000}"/>
    <hyperlink ref="K37" r:id="rId36" xr:uid="{00000000-0004-0000-0300-000023000000}"/>
    <hyperlink ref="K38" r:id="rId37" xr:uid="{00000000-0004-0000-0300-000024000000}"/>
    <hyperlink ref="K39" r:id="rId38" xr:uid="{00000000-0004-0000-0300-000025000000}"/>
    <hyperlink ref="K40" r:id="rId39" xr:uid="{00000000-0004-0000-0300-000026000000}"/>
    <hyperlink ref="K41" r:id="rId40" xr:uid="{00000000-0004-0000-0300-000027000000}"/>
    <hyperlink ref="K42" r:id="rId41" xr:uid="{00000000-0004-0000-0300-000028000000}"/>
    <hyperlink ref="K43" r:id="rId42" xr:uid="{00000000-0004-0000-0300-000029000000}"/>
    <hyperlink ref="K44" r:id="rId43" xr:uid="{00000000-0004-0000-0300-00002A000000}"/>
    <hyperlink ref="K45" r:id="rId44" xr:uid="{00000000-0004-0000-0300-00002B000000}"/>
    <hyperlink ref="K46" r:id="rId45" xr:uid="{00000000-0004-0000-0300-00002C000000}"/>
    <hyperlink ref="K47" r:id="rId46" xr:uid="{00000000-0004-0000-0300-00002D000000}"/>
    <hyperlink ref="K48" r:id="rId47" xr:uid="{00000000-0004-0000-0300-00002E000000}"/>
    <hyperlink ref="K49" r:id="rId48" xr:uid="{00000000-0004-0000-0300-00002F000000}"/>
    <hyperlink ref="K50" r:id="rId49" xr:uid="{00000000-0004-0000-0300-000030000000}"/>
    <hyperlink ref="K51" r:id="rId50" xr:uid="{00000000-0004-0000-0300-000031000000}"/>
    <hyperlink ref="K52" r:id="rId51" xr:uid="{00000000-0004-0000-0300-000032000000}"/>
    <hyperlink ref="K53" r:id="rId52" xr:uid="{00000000-0004-0000-0300-000033000000}"/>
    <hyperlink ref="K54" r:id="rId53" xr:uid="{00000000-0004-0000-0300-000034000000}"/>
    <hyperlink ref="K55" r:id="rId54" xr:uid="{00000000-0004-0000-0300-000035000000}"/>
    <hyperlink ref="K56" r:id="rId55" xr:uid="{00000000-0004-0000-0300-000036000000}"/>
    <hyperlink ref="K57" r:id="rId56" xr:uid="{00000000-0004-0000-0300-000037000000}"/>
    <hyperlink ref="K58" r:id="rId57" xr:uid="{00000000-0004-0000-0300-000038000000}"/>
    <hyperlink ref="K59" r:id="rId58" xr:uid="{00000000-0004-0000-0300-000039000000}"/>
    <hyperlink ref="K60" r:id="rId59" xr:uid="{00000000-0004-0000-0300-00003A000000}"/>
    <hyperlink ref="K61" r:id="rId60" xr:uid="{00000000-0004-0000-0300-00003B000000}"/>
    <hyperlink ref="K62" r:id="rId61" xr:uid="{00000000-0004-0000-0300-00003C000000}"/>
    <hyperlink ref="K63" r:id="rId62" xr:uid="{00000000-0004-0000-0300-00003D000000}"/>
    <hyperlink ref="K64" r:id="rId63" xr:uid="{00000000-0004-0000-0300-00003E000000}"/>
    <hyperlink ref="K65" r:id="rId64" xr:uid="{00000000-0004-0000-0300-00003F000000}"/>
    <hyperlink ref="K66" r:id="rId65" xr:uid="{00000000-0004-0000-0300-000040000000}"/>
    <hyperlink ref="K67" r:id="rId66" xr:uid="{00000000-0004-0000-0300-000041000000}"/>
    <hyperlink ref="K68" r:id="rId67" xr:uid="{00000000-0004-0000-0300-000042000000}"/>
    <hyperlink ref="K69" r:id="rId68" xr:uid="{00000000-0004-0000-0300-000043000000}"/>
    <hyperlink ref="K70" r:id="rId69" xr:uid="{00000000-0004-0000-0300-000044000000}"/>
    <hyperlink ref="K71" r:id="rId70" xr:uid="{00000000-0004-0000-0300-000045000000}"/>
    <hyperlink ref="K72" r:id="rId71" xr:uid="{00000000-0004-0000-0300-000046000000}"/>
    <hyperlink ref="K73" r:id="rId72" xr:uid="{00000000-0004-0000-0300-000047000000}"/>
    <hyperlink ref="K74" r:id="rId73" xr:uid="{00000000-0004-0000-0300-000048000000}"/>
    <hyperlink ref="K75" r:id="rId74" xr:uid="{00000000-0004-0000-0300-000049000000}"/>
    <hyperlink ref="K76" r:id="rId75" xr:uid="{00000000-0004-0000-0300-00004A000000}"/>
    <hyperlink ref="K77" r:id="rId76" xr:uid="{00000000-0004-0000-0300-00004B000000}"/>
    <hyperlink ref="K78" r:id="rId77" xr:uid="{00000000-0004-0000-0300-00004C000000}"/>
    <hyperlink ref="K79" r:id="rId78" xr:uid="{00000000-0004-0000-0300-00004D000000}"/>
    <hyperlink ref="K80" r:id="rId79" xr:uid="{00000000-0004-0000-0300-00004E000000}"/>
    <hyperlink ref="K81" r:id="rId80" xr:uid="{00000000-0004-0000-0300-00004F000000}"/>
    <hyperlink ref="K82" r:id="rId81" xr:uid="{00000000-0004-0000-0300-000050000000}"/>
    <hyperlink ref="K83" r:id="rId82" xr:uid="{00000000-0004-0000-0300-000051000000}"/>
    <hyperlink ref="K84" r:id="rId83" xr:uid="{00000000-0004-0000-0300-000052000000}"/>
    <hyperlink ref="K85" r:id="rId84" xr:uid="{00000000-0004-0000-0300-000053000000}"/>
    <hyperlink ref="K86" r:id="rId85" xr:uid="{00000000-0004-0000-0300-000054000000}"/>
    <hyperlink ref="K87" r:id="rId86" xr:uid="{00000000-0004-0000-0300-000055000000}"/>
    <hyperlink ref="K88" r:id="rId87" xr:uid="{00000000-0004-0000-0300-000056000000}"/>
    <hyperlink ref="K89" r:id="rId88" xr:uid="{00000000-0004-0000-0300-000057000000}"/>
    <hyperlink ref="K90" r:id="rId89" xr:uid="{00000000-0004-0000-0300-000058000000}"/>
    <hyperlink ref="K91" r:id="rId90" xr:uid="{00000000-0004-0000-0300-000059000000}"/>
    <hyperlink ref="K92" r:id="rId91" xr:uid="{00000000-0004-0000-0300-00005A000000}"/>
    <hyperlink ref="K93" r:id="rId92" xr:uid="{00000000-0004-0000-0300-00005B000000}"/>
    <hyperlink ref="K94" r:id="rId93" xr:uid="{00000000-0004-0000-0300-00005C000000}"/>
    <hyperlink ref="K95" r:id="rId94" xr:uid="{00000000-0004-0000-0300-00005D000000}"/>
    <hyperlink ref="K96" r:id="rId95" xr:uid="{00000000-0004-0000-0300-00005E000000}"/>
    <hyperlink ref="K97" r:id="rId96" xr:uid="{00000000-0004-0000-0300-00005F000000}"/>
    <hyperlink ref="K98" r:id="rId97" xr:uid="{00000000-0004-0000-0300-000060000000}"/>
    <hyperlink ref="K99" r:id="rId98" xr:uid="{00000000-0004-0000-0300-000061000000}"/>
    <hyperlink ref="K100" r:id="rId99" xr:uid="{00000000-0004-0000-0300-000062000000}"/>
    <hyperlink ref="K101" r:id="rId100" xr:uid="{00000000-0004-0000-0300-000063000000}"/>
    <hyperlink ref="K102" r:id="rId101" xr:uid="{00000000-0004-0000-0300-000064000000}"/>
    <hyperlink ref="K103" r:id="rId102" xr:uid="{00000000-0004-0000-0300-000065000000}"/>
    <hyperlink ref="K104" r:id="rId103" xr:uid="{00000000-0004-0000-0300-000066000000}"/>
    <hyperlink ref="K105" r:id="rId104" xr:uid="{00000000-0004-0000-0300-000067000000}"/>
    <hyperlink ref="K106" r:id="rId105" xr:uid="{00000000-0004-0000-0300-000068000000}"/>
    <hyperlink ref="K107" r:id="rId106" xr:uid="{00000000-0004-0000-0300-000069000000}"/>
    <hyperlink ref="K108" r:id="rId107" xr:uid="{00000000-0004-0000-0300-00006A000000}"/>
    <hyperlink ref="K109" r:id="rId108" xr:uid="{00000000-0004-0000-0300-00006B000000}"/>
    <hyperlink ref="K110" r:id="rId109" xr:uid="{00000000-0004-0000-0300-00006C000000}"/>
    <hyperlink ref="K111" r:id="rId110" xr:uid="{00000000-0004-0000-0300-00006D000000}"/>
    <hyperlink ref="K112" r:id="rId111" xr:uid="{00000000-0004-0000-0300-00006E000000}"/>
    <hyperlink ref="K113" r:id="rId112" xr:uid="{00000000-0004-0000-0300-00006F000000}"/>
    <hyperlink ref="K114" r:id="rId113" xr:uid="{00000000-0004-0000-0300-000070000000}"/>
    <hyperlink ref="K115" r:id="rId114" xr:uid="{00000000-0004-0000-0300-000071000000}"/>
    <hyperlink ref="K116" r:id="rId115" xr:uid="{00000000-0004-0000-0300-000072000000}"/>
    <hyperlink ref="K117" r:id="rId116" xr:uid="{00000000-0004-0000-0300-000073000000}"/>
    <hyperlink ref="K118" r:id="rId117" xr:uid="{00000000-0004-0000-0300-000074000000}"/>
    <hyperlink ref="K119" r:id="rId118" xr:uid="{00000000-0004-0000-0300-000075000000}"/>
    <hyperlink ref="K120" r:id="rId119" xr:uid="{00000000-0004-0000-0300-000076000000}"/>
    <hyperlink ref="K121" r:id="rId120" xr:uid="{00000000-0004-0000-0300-000077000000}"/>
    <hyperlink ref="K122" r:id="rId121" xr:uid="{00000000-0004-0000-0300-000078000000}"/>
    <hyperlink ref="K123" r:id="rId122" xr:uid="{00000000-0004-0000-0300-000079000000}"/>
    <hyperlink ref="K124" r:id="rId123" xr:uid="{00000000-0004-0000-0300-00007A000000}"/>
    <hyperlink ref="K125" r:id="rId124" xr:uid="{00000000-0004-0000-0300-00007B000000}"/>
    <hyperlink ref="K126" r:id="rId125" xr:uid="{00000000-0004-0000-0300-00007C000000}"/>
    <hyperlink ref="K127" r:id="rId126" xr:uid="{00000000-0004-0000-0300-00007D000000}"/>
    <hyperlink ref="K128" r:id="rId127" xr:uid="{00000000-0004-0000-0300-00007E000000}"/>
    <hyperlink ref="K129" r:id="rId128" xr:uid="{00000000-0004-0000-0300-00007F000000}"/>
    <hyperlink ref="K130" r:id="rId129" xr:uid="{00000000-0004-0000-0300-000080000000}"/>
    <hyperlink ref="K131" r:id="rId130" xr:uid="{00000000-0004-0000-0300-000081000000}"/>
    <hyperlink ref="K132" r:id="rId131" xr:uid="{00000000-0004-0000-0300-000082000000}"/>
    <hyperlink ref="K133" r:id="rId132" xr:uid="{00000000-0004-0000-0300-000083000000}"/>
    <hyperlink ref="K134" r:id="rId133" xr:uid="{00000000-0004-0000-0300-000084000000}"/>
    <hyperlink ref="K135" r:id="rId134" xr:uid="{00000000-0004-0000-0300-000085000000}"/>
    <hyperlink ref="K136" r:id="rId135" xr:uid="{00000000-0004-0000-0300-000086000000}"/>
    <hyperlink ref="K137" r:id="rId136" xr:uid="{00000000-0004-0000-0300-000087000000}"/>
    <hyperlink ref="K138" r:id="rId137" xr:uid="{00000000-0004-0000-0300-000088000000}"/>
    <hyperlink ref="K139" r:id="rId138" xr:uid="{00000000-0004-0000-0300-000089000000}"/>
    <hyperlink ref="K140" r:id="rId139" xr:uid="{00000000-0004-0000-0300-00008A000000}"/>
    <hyperlink ref="K141" r:id="rId140" xr:uid="{00000000-0004-0000-0300-00008B000000}"/>
    <hyperlink ref="K142" r:id="rId141" xr:uid="{00000000-0004-0000-0300-00008C000000}"/>
    <hyperlink ref="K143" r:id="rId142" xr:uid="{00000000-0004-0000-0300-00008D000000}"/>
    <hyperlink ref="K144" r:id="rId143" xr:uid="{00000000-0004-0000-0300-00008E000000}"/>
    <hyperlink ref="K145" r:id="rId144" xr:uid="{00000000-0004-0000-0300-00008F000000}"/>
    <hyperlink ref="K146" r:id="rId145" xr:uid="{00000000-0004-0000-0300-000090000000}"/>
    <hyperlink ref="K147" r:id="rId146" xr:uid="{00000000-0004-0000-0300-000091000000}"/>
    <hyperlink ref="K148" r:id="rId147" xr:uid="{00000000-0004-0000-0300-000092000000}"/>
    <hyperlink ref="K149" r:id="rId148" xr:uid="{00000000-0004-0000-0300-000093000000}"/>
    <hyperlink ref="K150" r:id="rId149" xr:uid="{00000000-0004-0000-0300-000094000000}"/>
    <hyperlink ref="K151" r:id="rId150" xr:uid="{00000000-0004-0000-0300-000095000000}"/>
    <hyperlink ref="K152" r:id="rId151" xr:uid="{00000000-0004-0000-0300-000096000000}"/>
    <hyperlink ref="K153" r:id="rId152" xr:uid="{00000000-0004-0000-0300-000097000000}"/>
    <hyperlink ref="K154" r:id="rId153" xr:uid="{00000000-0004-0000-0300-000098000000}"/>
    <hyperlink ref="K155" r:id="rId154" xr:uid="{00000000-0004-0000-0300-000099000000}"/>
    <hyperlink ref="K156" r:id="rId155" xr:uid="{00000000-0004-0000-0300-00009A000000}"/>
    <hyperlink ref="K157" r:id="rId156" xr:uid="{00000000-0004-0000-0300-00009B000000}"/>
    <hyperlink ref="K158" r:id="rId157" xr:uid="{00000000-0004-0000-0300-00009C000000}"/>
    <hyperlink ref="K159" r:id="rId158" xr:uid="{00000000-0004-0000-0300-00009D000000}"/>
    <hyperlink ref="K160" r:id="rId159" xr:uid="{00000000-0004-0000-0300-00009E000000}"/>
    <hyperlink ref="K161" r:id="rId160" xr:uid="{00000000-0004-0000-0300-00009F000000}"/>
    <hyperlink ref="K162" r:id="rId161" xr:uid="{00000000-0004-0000-0300-0000A0000000}"/>
    <hyperlink ref="K163" r:id="rId162" xr:uid="{00000000-0004-0000-0300-0000A1000000}"/>
    <hyperlink ref="K164" r:id="rId163" xr:uid="{00000000-0004-0000-0300-0000A2000000}"/>
    <hyperlink ref="K165" r:id="rId164" xr:uid="{00000000-0004-0000-0300-0000A3000000}"/>
    <hyperlink ref="K166" r:id="rId165" xr:uid="{00000000-0004-0000-0300-0000A4000000}"/>
    <hyperlink ref="K167" r:id="rId166" xr:uid="{00000000-0004-0000-0300-0000A5000000}"/>
    <hyperlink ref="K168" r:id="rId167" xr:uid="{00000000-0004-0000-0300-0000A6000000}"/>
    <hyperlink ref="K169" r:id="rId168" xr:uid="{00000000-0004-0000-0300-0000A7000000}"/>
    <hyperlink ref="K170" r:id="rId169" xr:uid="{00000000-0004-0000-0300-0000A8000000}"/>
    <hyperlink ref="K171" r:id="rId170" xr:uid="{00000000-0004-0000-0300-0000A9000000}"/>
    <hyperlink ref="K172" r:id="rId171" xr:uid="{00000000-0004-0000-0300-0000AA000000}"/>
    <hyperlink ref="K173" r:id="rId172" xr:uid="{00000000-0004-0000-0300-0000AB000000}"/>
    <hyperlink ref="K174" r:id="rId173" xr:uid="{00000000-0004-0000-0300-0000AC000000}"/>
    <hyperlink ref="K175" r:id="rId174" xr:uid="{00000000-0004-0000-0300-0000AD000000}"/>
    <hyperlink ref="K176" r:id="rId175" xr:uid="{00000000-0004-0000-0300-0000AE000000}"/>
    <hyperlink ref="K177" r:id="rId176" xr:uid="{00000000-0004-0000-0300-0000AF000000}"/>
    <hyperlink ref="K178" r:id="rId177" xr:uid="{00000000-0004-0000-0300-0000B0000000}"/>
    <hyperlink ref="K179" r:id="rId178" xr:uid="{00000000-0004-0000-0300-0000B1000000}"/>
    <hyperlink ref="K180" r:id="rId179" xr:uid="{00000000-0004-0000-0300-0000B2000000}"/>
    <hyperlink ref="K181" r:id="rId180" xr:uid="{00000000-0004-0000-0300-0000B3000000}"/>
    <hyperlink ref="K182" r:id="rId181" xr:uid="{00000000-0004-0000-0300-0000B4000000}"/>
    <hyperlink ref="K183" r:id="rId182" xr:uid="{00000000-0004-0000-0300-0000B5000000}"/>
    <hyperlink ref="K184" r:id="rId183" xr:uid="{00000000-0004-0000-0300-0000B6000000}"/>
    <hyperlink ref="K185" r:id="rId184" xr:uid="{00000000-0004-0000-0300-0000B7000000}"/>
    <hyperlink ref="K186" r:id="rId185" xr:uid="{00000000-0004-0000-0300-0000B8000000}"/>
    <hyperlink ref="K187" r:id="rId186" xr:uid="{00000000-0004-0000-0300-0000B9000000}"/>
    <hyperlink ref="K188" r:id="rId187" xr:uid="{00000000-0004-0000-0300-0000BA000000}"/>
    <hyperlink ref="K189" r:id="rId188" xr:uid="{00000000-0004-0000-0300-0000BB000000}"/>
    <hyperlink ref="K190" r:id="rId189" xr:uid="{00000000-0004-0000-0300-0000BC000000}"/>
    <hyperlink ref="K191" r:id="rId190" xr:uid="{00000000-0004-0000-0300-0000BD000000}"/>
    <hyperlink ref="K192" r:id="rId191" xr:uid="{00000000-0004-0000-0300-0000BE000000}"/>
    <hyperlink ref="K193" r:id="rId192" xr:uid="{00000000-0004-0000-0300-0000BF000000}"/>
    <hyperlink ref="K194" r:id="rId193" xr:uid="{00000000-0004-0000-0300-0000C0000000}"/>
    <hyperlink ref="K195" r:id="rId194" xr:uid="{00000000-0004-0000-0300-0000C1000000}"/>
    <hyperlink ref="K196" r:id="rId195" xr:uid="{00000000-0004-0000-0300-0000C2000000}"/>
    <hyperlink ref="K197" r:id="rId196" xr:uid="{00000000-0004-0000-0300-0000C3000000}"/>
    <hyperlink ref="K198" r:id="rId197" xr:uid="{00000000-0004-0000-0300-0000C4000000}"/>
    <hyperlink ref="K199" r:id="rId198" xr:uid="{00000000-0004-0000-0300-0000C5000000}"/>
    <hyperlink ref="K200" r:id="rId199" xr:uid="{00000000-0004-0000-0300-0000C6000000}"/>
    <hyperlink ref="K201" r:id="rId200" xr:uid="{00000000-0004-0000-0300-0000C7000000}"/>
    <hyperlink ref="K202" r:id="rId201" xr:uid="{00000000-0004-0000-0300-0000C8000000}"/>
    <hyperlink ref="K203" r:id="rId202" xr:uid="{00000000-0004-0000-0300-0000C9000000}"/>
    <hyperlink ref="K204" r:id="rId203" xr:uid="{00000000-0004-0000-0300-0000CA000000}"/>
    <hyperlink ref="K205" r:id="rId204" xr:uid="{00000000-0004-0000-0300-0000CB000000}"/>
    <hyperlink ref="K206" r:id="rId205" xr:uid="{00000000-0004-0000-0300-0000CC000000}"/>
    <hyperlink ref="K207" r:id="rId206" xr:uid="{00000000-0004-0000-0300-0000CD000000}"/>
    <hyperlink ref="K208" r:id="rId207" xr:uid="{00000000-0004-0000-0300-0000C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7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95" customWidth="1"/>
  </cols>
  <sheetData>
    <row r="2" spans="2:3" ht="18" x14ac:dyDescent="0.2">
      <c r="B2" s="29" t="s">
        <v>1353</v>
      </c>
    </row>
    <row r="4" spans="2:3" x14ac:dyDescent="0.2">
      <c r="B4" s="6" t="s">
        <v>1354</v>
      </c>
      <c r="C4" s="30" t="s">
        <v>1355</v>
      </c>
    </row>
    <row r="5" spans="2:3" ht="28" x14ac:dyDescent="0.2">
      <c r="C5" s="31" t="s">
        <v>1356</v>
      </c>
    </row>
    <row r="7" spans="2:3" ht="28" x14ac:dyDescent="0.2">
      <c r="B7" s="32" t="s">
        <v>1357</v>
      </c>
      <c r="C7" s="9" t="s">
        <v>1358</v>
      </c>
    </row>
    <row r="8" spans="2:3" ht="28" x14ac:dyDescent="0.2">
      <c r="B8" s="32" t="s">
        <v>1359</v>
      </c>
      <c r="C8" s="9" t="s">
        <v>1360</v>
      </c>
    </row>
    <row r="9" spans="2:3" ht="28" x14ac:dyDescent="0.2">
      <c r="B9" s="32" t="s">
        <v>1361</v>
      </c>
      <c r="C9" s="9" t="s">
        <v>1362</v>
      </c>
    </row>
    <row r="10" spans="2:3" x14ac:dyDescent="0.2">
      <c r="B10" s="32" t="s">
        <v>1363</v>
      </c>
      <c r="C10" s="9" t="s">
        <v>1364</v>
      </c>
    </row>
    <row r="11" spans="2:3" ht="28" x14ac:dyDescent="0.2">
      <c r="B11" s="32" t="s">
        <v>7</v>
      </c>
      <c r="C11" s="9" t="s">
        <v>1365</v>
      </c>
    </row>
    <row r="12" spans="2:3" ht="42" x14ac:dyDescent="0.2">
      <c r="B12" s="32" t="s">
        <v>1366</v>
      </c>
      <c r="C12" s="9" t="s">
        <v>1367</v>
      </c>
    </row>
    <row r="13" spans="2:3" ht="28" x14ac:dyDescent="0.2">
      <c r="B13" s="32" t="s">
        <v>1368</v>
      </c>
      <c r="C13" s="9" t="s">
        <v>1369</v>
      </c>
    </row>
    <row r="14" spans="2:3" ht="42" x14ac:dyDescent="0.2">
      <c r="B14" s="32" t="s">
        <v>1370</v>
      </c>
      <c r="C14" s="9" t="s">
        <v>1371</v>
      </c>
    </row>
    <row r="15" spans="2:3" x14ac:dyDescent="0.2">
      <c r="B15" s="32" t="s">
        <v>432</v>
      </c>
      <c r="C15" s="9" t="s">
        <v>1372</v>
      </c>
    </row>
    <row r="16" spans="2:3" ht="28" x14ac:dyDescent="0.2">
      <c r="B16" s="32" t="s">
        <v>1373</v>
      </c>
      <c r="C16" s="9" t="s">
        <v>1374</v>
      </c>
    </row>
    <row r="17" spans="2:3" ht="28" x14ac:dyDescent="0.2">
      <c r="B17" s="32" t="s">
        <v>1375</v>
      </c>
      <c r="C17" s="9" t="s">
        <v>1376</v>
      </c>
    </row>
  </sheetData>
  <dataValidations count="1">
    <dataValidation type="list" sqref="C4" xr:uid="{00000000-0002-0000-0400-000000000000}">
      <formula1>"Today,Regular"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3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20" customWidth="1"/>
    <col min="3" max="3" width="55" customWidth="1"/>
    <col min="4" max="4" width="50" customWidth="1"/>
  </cols>
  <sheetData>
    <row r="1" spans="1:4" x14ac:dyDescent="0.2">
      <c r="A1" s="33" t="s">
        <v>1</v>
      </c>
      <c r="B1" s="33" t="s">
        <v>2</v>
      </c>
      <c r="C1" s="33" t="s">
        <v>1377</v>
      </c>
      <c r="D1" s="33" t="s">
        <v>9</v>
      </c>
    </row>
    <row r="2" spans="1:4" x14ac:dyDescent="0.2">
      <c r="A2" s="5" t="s">
        <v>10</v>
      </c>
      <c r="B2" s="5" t="s">
        <v>11</v>
      </c>
      <c r="C2" s="5" t="s">
        <v>297</v>
      </c>
      <c r="D2" s="5" t="s">
        <v>95</v>
      </c>
    </row>
    <row r="3" spans="1:4" x14ac:dyDescent="0.2">
      <c r="A3" s="5" t="s">
        <v>10</v>
      </c>
      <c r="B3" s="5" t="s">
        <v>11</v>
      </c>
      <c r="C3" s="5" t="s">
        <v>300</v>
      </c>
      <c r="D3" s="5" t="s">
        <v>95</v>
      </c>
    </row>
    <row r="4" spans="1:4" x14ac:dyDescent="0.2">
      <c r="A4" s="5" t="s">
        <v>10</v>
      </c>
      <c r="B4" s="5" t="s">
        <v>11</v>
      </c>
      <c r="C4" s="5" t="s">
        <v>305</v>
      </c>
      <c r="D4" s="5" t="s">
        <v>95</v>
      </c>
    </row>
    <row r="5" spans="1:4" x14ac:dyDescent="0.2">
      <c r="A5" s="5" t="s">
        <v>10</v>
      </c>
      <c r="B5" s="5" t="s">
        <v>11</v>
      </c>
      <c r="C5" s="5" t="s">
        <v>307</v>
      </c>
      <c r="D5" s="5" t="s">
        <v>95</v>
      </c>
    </row>
    <row r="6" spans="1:4" x14ac:dyDescent="0.2">
      <c r="A6" s="5" t="s">
        <v>10</v>
      </c>
      <c r="B6" s="5" t="s">
        <v>11</v>
      </c>
      <c r="C6" s="5" t="s">
        <v>310</v>
      </c>
      <c r="D6" s="5" t="s">
        <v>95</v>
      </c>
    </row>
    <row r="7" spans="1:4" x14ac:dyDescent="0.2">
      <c r="A7" s="5" t="s">
        <v>10</v>
      </c>
      <c r="B7" s="5" t="s">
        <v>11</v>
      </c>
      <c r="C7" s="5" t="s">
        <v>312</v>
      </c>
      <c r="D7" s="5" t="s">
        <v>95</v>
      </c>
    </row>
    <row r="8" spans="1:4" x14ac:dyDescent="0.2">
      <c r="A8" s="5" t="s">
        <v>13</v>
      </c>
      <c r="B8" s="5" t="s">
        <v>14</v>
      </c>
      <c r="C8" s="5" t="s">
        <v>315</v>
      </c>
      <c r="D8" s="5" t="s">
        <v>98</v>
      </c>
    </row>
    <row r="9" spans="1:4" x14ac:dyDescent="0.2">
      <c r="A9" s="5" t="s">
        <v>13</v>
      </c>
      <c r="B9" s="5" t="s">
        <v>14</v>
      </c>
      <c r="C9" s="5" t="s">
        <v>317</v>
      </c>
      <c r="D9" s="5" t="s">
        <v>98</v>
      </c>
    </row>
    <row r="10" spans="1:4" x14ac:dyDescent="0.2">
      <c r="A10" s="5" t="s">
        <v>13</v>
      </c>
      <c r="B10" s="5" t="s">
        <v>14</v>
      </c>
      <c r="C10" s="5" t="s">
        <v>320</v>
      </c>
      <c r="D10" s="5" t="s">
        <v>98</v>
      </c>
    </row>
    <row r="11" spans="1:4" x14ac:dyDescent="0.2">
      <c r="A11" s="5" t="s">
        <v>13</v>
      </c>
      <c r="B11" s="5" t="s">
        <v>14</v>
      </c>
      <c r="C11" s="5" t="s">
        <v>322</v>
      </c>
      <c r="D11" s="5" t="s">
        <v>98</v>
      </c>
    </row>
    <row r="12" spans="1:4" x14ac:dyDescent="0.2">
      <c r="A12" s="5" t="s">
        <v>13</v>
      </c>
      <c r="B12" s="5" t="s">
        <v>14</v>
      </c>
      <c r="C12" s="5" t="s">
        <v>324</v>
      </c>
      <c r="D12" s="5" t="s">
        <v>98</v>
      </c>
    </row>
    <row r="13" spans="1:4" x14ac:dyDescent="0.2">
      <c r="A13" s="5" t="s">
        <v>13</v>
      </c>
      <c r="B13" s="5" t="s">
        <v>14</v>
      </c>
      <c r="C13" s="5" t="s">
        <v>327</v>
      </c>
      <c r="D13" s="5" t="s">
        <v>98</v>
      </c>
    </row>
    <row r="14" spans="1:4" x14ac:dyDescent="0.2">
      <c r="A14" s="5" t="s">
        <v>13</v>
      </c>
      <c r="B14" s="5" t="s">
        <v>14</v>
      </c>
      <c r="C14" s="5" t="s">
        <v>329</v>
      </c>
      <c r="D14" s="5" t="s">
        <v>98</v>
      </c>
    </row>
    <row r="15" spans="1:4" x14ac:dyDescent="0.2">
      <c r="A15" s="5" t="s">
        <v>15</v>
      </c>
      <c r="B15" s="5" t="s">
        <v>11</v>
      </c>
      <c r="C15" s="5" t="s">
        <v>331</v>
      </c>
      <c r="D15" s="5" t="s">
        <v>101</v>
      </c>
    </row>
    <row r="16" spans="1:4" x14ac:dyDescent="0.2">
      <c r="A16" s="5" t="s">
        <v>15</v>
      </c>
      <c r="B16" s="5" t="s">
        <v>11</v>
      </c>
      <c r="C16" s="5" t="s">
        <v>334</v>
      </c>
      <c r="D16" s="5" t="s">
        <v>101</v>
      </c>
    </row>
    <row r="17" spans="1:4" x14ac:dyDescent="0.2">
      <c r="A17" s="5" t="s">
        <v>15</v>
      </c>
      <c r="B17" s="5" t="s">
        <v>11</v>
      </c>
      <c r="C17" s="5" t="s">
        <v>337</v>
      </c>
      <c r="D17" s="5" t="s">
        <v>101</v>
      </c>
    </row>
    <row r="18" spans="1:4" x14ac:dyDescent="0.2">
      <c r="A18" s="5" t="s">
        <v>15</v>
      </c>
      <c r="B18" s="5" t="s">
        <v>11</v>
      </c>
      <c r="C18" s="5" t="s">
        <v>339</v>
      </c>
      <c r="D18" s="5" t="s">
        <v>101</v>
      </c>
    </row>
    <row r="19" spans="1:4" x14ac:dyDescent="0.2">
      <c r="A19" s="5" t="s">
        <v>15</v>
      </c>
      <c r="B19" s="5" t="s">
        <v>11</v>
      </c>
      <c r="C19" s="5" t="s">
        <v>340</v>
      </c>
      <c r="D19" s="5" t="s">
        <v>101</v>
      </c>
    </row>
    <row r="20" spans="1:4" x14ac:dyDescent="0.2">
      <c r="A20" s="5" t="s">
        <v>15</v>
      </c>
      <c r="B20" s="5" t="s">
        <v>11</v>
      </c>
      <c r="C20" s="5" t="s">
        <v>342</v>
      </c>
      <c r="D20" s="5" t="s">
        <v>101</v>
      </c>
    </row>
    <row r="21" spans="1:4" x14ac:dyDescent="0.2">
      <c r="A21" s="5" t="s">
        <v>15</v>
      </c>
      <c r="B21" s="5" t="s">
        <v>11</v>
      </c>
      <c r="C21" s="5" t="s">
        <v>345</v>
      </c>
      <c r="D21" s="5" t="s">
        <v>101</v>
      </c>
    </row>
    <row r="22" spans="1:4" x14ac:dyDescent="0.2">
      <c r="A22" s="5" t="s">
        <v>15</v>
      </c>
      <c r="B22" s="5" t="s">
        <v>11</v>
      </c>
      <c r="C22" s="5" t="s">
        <v>346</v>
      </c>
      <c r="D22" s="5" t="s">
        <v>101</v>
      </c>
    </row>
    <row r="23" spans="1:4" x14ac:dyDescent="0.2">
      <c r="A23" s="5" t="s">
        <v>15</v>
      </c>
      <c r="B23" s="5" t="s">
        <v>11</v>
      </c>
      <c r="C23" s="5" t="s">
        <v>348</v>
      </c>
      <c r="D23" s="5" t="s">
        <v>101</v>
      </c>
    </row>
    <row r="24" spans="1:4" x14ac:dyDescent="0.2">
      <c r="A24" s="5" t="s">
        <v>16</v>
      </c>
      <c r="B24" s="5" t="s">
        <v>17</v>
      </c>
      <c r="C24" s="5" t="s">
        <v>350</v>
      </c>
      <c r="D24" s="5" t="s">
        <v>104</v>
      </c>
    </row>
    <row r="25" spans="1:4" x14ac:dyDescent="0.2">
      <c r="A25" s="5" t="s">
        <v>16</v>
      </c>
      <c r="B25" s="5" t="s">
        <v>17</v>
      </c>
      <c r="C25" s="5" t="s">
        <v>352</v>
      </c>
      <c r="D25" s="5" t="s">
        <v>104</v>
      </c>
    </row>
    <row r="26" spans="1:4" x14ac:dyDescent="0.2">
      <c r="A26" s="5" t="s">
        <v>16</v>
      </c>
      <c r="B26" s="5" t="s">
        <v>17</v>
      </c>
      <c r="C26" s="5" t="s">
        <v>355</v>
      </c>
      <c r="D26" s="5" t="s">
        <v>104</v>
      </c>
    </row>
    <row r="27" spans="1:4" x14ac:dyDescent="0.2">
      <c r="A27" s="5" t="s">
        <v>16</v>
      </c>
      <c r="B27" s="5" t="s">
        <v>17</v>
      </c>
      <c r="C27" s="5" t="s">
        <v>356</v>
      </c>
      <c r="D27" s="5" t="s">
        <v>104</v>
      </c>
    </row>
    <row r="28" spans="1:4" x14ac:dyDescent="0.2">
      <c r="A28" s="5" t="s">
        <v>16</v>
      </c>
      <c r="B28" s="5" t="s">
        <v>17</v>
      </c>
      <c r="C28" s="5" t="s">
        <v>358</v>
      </c>
      <c r="D28" s="5" t="s">
        <v>104</v>
      </c>
    </row>
    <row r="29" spans="1:4" x14ac:dyDescent="0.2">
      <c r="A29" s="5" t="s">
        <v>16</v>
      </c>
      <c r="B29" s="5" t="s">
        <v>17</v>
      </c>
      <c r="C29" s="5" t="s">
        <v>361</v>
      </c>
      <c r="D29" s="5" t="s">
        <v>104</v>
      </c>
    </row>
    <row r="30" spans="1:4" x14ac:dyDescent="0.2">
      <c r="A30" s="5" t="s">
        <v>16</v>
      </c>
      <c r="B30" s="5" t="s">
        <v>17</v>
      </c>
      <c r="C30" s="5" t="s">
        <v>362</v>
      </c>
      <c r="D30" s="5" t="s">
        <v>104</v>
      </c>
    </row>
    <row r="31" spans="1:4" x14ac:dyDescent="0.2">
      <c r="A31" s="5" t="s">
        <v>16</v>
      </c>
      <c r="B31" s="5" t="s">
        <v>17</v>
      </c>
      <c r="C31" s="5" t="s">
        <v>364</v>
      </c>
      <c r="D31" s="5" t="s">
        <v>104</v>
      </c>
    </row>
    <row r="32" spans="1:4" x14ac:dyDescent="0.2">
      <c r="A32" s="5" t="s">
        <v>16</v>
      </c>
      <c r="B32" s="5" t="s">
        <v>17</v>
      </c>
      <c r="C32" s="5" t="s">
        <v>366</v>
      </c>
      <c r="D32" s="5" t="s">
        <v>104</v>
      </c>
    </row>
    <row r="33" spans="1:4" x14ac:dyDescent="0.2">
      <c r="A33" s="5" t="s">
        <v>18</v>
      </c>
      <c r="B33" s="5" t="s">
        <v>11</v>
      </c>
      <c r="C33" s="5" t="s">
        <v>370</v>
      </c>
      <c r="D33" s="5" t="s">
        <v>107</v>
      </c>
    </row>
    <row r="34" spans="1:4" x14ac:dyDescent="0.2">
      <c r="A34" s="5" t="s">
        <v>18</v>
      </c>
      <c r="B34" s="5" t="s">
        <v>11</v>
      </c>
      <c r="C34" s="5" t="s">
        <v>372</v>
      </c>
      <c r="D34" s="5" t="s">
        <v>107</v>
      </c>
    </row>
    <row r="35" spans="1:4" x14ac:dyDescent="0.2">
      <c r="A35" s="5" t="s">
        <v>18</v>
      </c>
      <c r="B35" s="5" t="s">
        <v>11</v>
      </c>
      <c r="C35" s="5" t="s">
        <v>373</v>
      </c>
      <c r="D35" s="5" t="s">
        <v>107</v>
      </c>
    </row>
    <row r="36" spans="1:4" x14ac:dyDescent="0.2">
      <c r="A36" s="5" t="s">
        <v>18</v>
      </c>
      <c r="B36" s="5" t="s">
        <v>11</v>
      </c>
      <c r="C36" s="5" t="s">
        <v>375</v>
      </c>
      <c r="D36" s="5" t="s">
        <v>107</v>
      </c>
    </row>
    <row r="37" spans="1:4" x14ac:dyDescent="0.2">
      <c r="A37" s="5" t="s">
        <v>18</v>
      </c>
      <c r="B37" s="5" t="s">
        <v>11</v>
      </c>
      <c r="C37" s="5" t="s">
        <v>376</v>
      </c>
      <c r="D37" s="5" t="s">
        <v>107</v>
      </c>
    </row>
    <row r="38" spans="1:4" x14ac:dyDescent="0.2">
      <c r="A38" s="5" t="s">
        <v>18</v>
      </c>
      <c r="B38" s="5" t="s">
        <v>11</v>
      </c>
      <c r="C38" s="5" t="s">
        <v>379</v>
      </c>
      <c r="D38" s="5" t="s">
        <v>107</v>
      </c>
    </row>
    <row r="39" spans="1:4" x14ac:dyDescent="0.2">
      <c r="A39" s="5" t="s">
        <v>18</v>
      </c>
      <c r="B39" s="5" t="s">
        <v>11</v>
      </c>
      <c r="C39" s="5" t="s">
        <v>381</v>
      </c>
      <c r="D39" s="5" t="s">
        <v>107</v>
      </c>
    </row>
    <row r="40" spans="1:4" x14ac:dyDescent="0.2">
      <c r="A40" s="5" t="s">
        <v>18</v>
      </c>
      <c r="B40" s="5" t="s">
        <v>11</v>
      </c>
      <c r="C40" s="5" t="s">
        <v>384</v>
      </c>
      <c r="D40" s="5" t="s">
        <v>107</v>
      </c>
    </row>
    <row r="41" spans="1:4" x14ac:dyDescent="0.2">
      <c r="A41" s="5" t="s">
        <v>18</v>
      </c>
      <c r="B41" s="5" t="s">
        <v>11</v>
      </c>
      <c r="C41" s="5" t="s">
        <v>387</v>
      </c>
      <c r="D41" s="5" t="s">
        <v>107</v>
      </c>
    </row>
    <row r="42" spans="1:4" x14ac:dyDescent="0.2">
      <c r="A42" s="5" t="s">
        <v>18</v>
      </c>
      <c r="B42" s="5" t="s">
        <v>11</v>
      </c>
      <c r="C42" s="5" t="s">
        <v>361</v>
      </c>
      <c r="D42" s="5" t="s">
        <v>107</v>
      </c>
    </row>
    <row r="43" spans="1:4" x14ac:dyDescent="0.2">
      <c r="A43" s="5" t="s">
        <v>18</v>
      </c>
      <c r="B43" s="5" t="s">
        <v>11</v>
      </c>
      <c r="C43" s="5" t="s">
        <v>389</v>
      </c>
      <c r="D43" s="5" t="s">
        <v>107</v>
      </c>
    </row>
    <row r="44" spans="1:4" x14ac:dyDescent="0.2">
      <c r="A44" s="5" t="s">
        <v>18</v>
      </c>
      <c r="B44" s="5" t="s">
        <v>11</v>
      </c>
      <c r="C44" s="5" t="s">
        <v>392</v>
      </c>
      <c r="D44" s="5" t="s">
        <v>107</v>
      </c>
    </row>
    <row r="45" spans="1:4" x14ac:dyDescent="0.2">
      <c r="A45" s="5" t="s">
        <v>18</v>
      </c>
      <c r="B45" s="5" t="s">
        <v>11</v>
      </c>
      <c r="C45" s="5" t="s">
        <v>394</v>
      </c>
      <c r="D45" s="5" t="s">
        <v>107</v>
      </c>
    </row>
    <row r="46" spans="1:4" x14ac:dyDescent="0.2">
      <c r="A46" s="5" t="s">
        <v>18</v>
      </c>
      <c r="B46" s="5" t="s">
        <v>11</v>
      </c>
      <c r="C46" s="5" t="s">
        <v>395</v>
      </c>
      <c r="D46" s="5" t="s">
        <v>107</v>
      </c>
    </row>
    <row r="47" spans="1:4" x14ac:dyDescent="0.2">
      <c r="A47" s="5" t="s">
        <v>18</v>
      </c>
      <c r="B47" s="5" t="s">
        <v>11</v>
      </c>
      <c r="C47" s="5" t="s">
        <v>399</v>
      </c>
      <c r="D47" s="5" t="s">
        <v>107</v>
      </c>
    </row>
    <row r="48" spans="1:4" x14ac:dyDescent="0.2">
      <c r="A48" s="5" t="s">
        <v>19</v>
      </c>
      <c r="B48" s="5" t="s">
        <v>20</v>
      </c>
      <c r="C48" s="5" t="s">
        <v>401</v>
      </c>
      <c r="D48" s="5" t="s">
        <v>110</v>
      </c>
    </row>
    <row r="49" spans="1:4" x14ac:dyDescent="0.2">
      <c r="A49" s="5" t="s">
        <v>19</v>
      </c>
      <c r="B49" s="5" t="s">
        <v>20</v>
      </c>
      <c r="C49" s="5" t="s">
        <v>403</v>
      </c>
      <c r="D49" s="5" t="s">
        <v>110</v>
      </c>
    </row>
    <row r="50" spans="1:4" x14ac:dyDescent="0.2">
      <c r="A50" s="5" t="s">
        <v>19</v>
      </c>
      <c r="B50" s="5" t="s">
        <v>20</v>
      </c>
      <c r="C50" s="5" t="s">
        <v>406</v>
      </c>
      <c r="D50" s="5" t="s">
        <v>110</v>
      </c>
    </row>
    <row r="51" spans="1:4" x14ac:dyDescent="0.2">
      <c r="A51" s="5" t="s">
        <v>19</v>
      </c>
      <c r="B51" s="5" t="s">
        <v>20</v>
      </c>
      <c r="C51" s="5" t="s">
        <v>408</v>
      </c>
      <c r="D51" s="5" t="s">
        <v>110</v>
      </c>
    </row>
    <row r="52" spans="1:4" x14ac:dyDescent="0.2">
      <c r="A52" s="5" t="s">
        <v>19</v>
      </c>
      <c r="B52" s="5" t="s">
        <v>20</v>
      </c>
      <c r="C52" s="5" t="s">
        <v>411</v>
      </c>
      <c r="D52" s="5" t="s">
        <v>110</v>
      </c>
    </row>
    <row r="53" spans="1:4" x14ac:dyDescent="0.2">
      <c r="A53" s="5" t="s">
        <v>19</v>
      </c>
      <c r="B53" s="5" t="s">
        <v>20</v>
      </c>
      <c r="C53" s="5" t="s">
        <v>393</v>
      </c>
      <c r="D53" s="5" t="s">
        <v>110</v>
      </c>
    </row>
    <row r="54" spans="1:4" x14ac:dyDescent="0.2">
      <c r="A54" s="5" t="s">
        <v>19</v>
      </c>
      <c r="B54" s="5" t="s">
        <v>20</v>
      </c>
      <c r="C54" s="5" t="s">
        <v>414</v>
      </c>
      <c r="D54" s="5" t="s">
        <v>110</v>
      </c>
    </row>
    <row r="55" spans="1:4" x14ac:dyDescent="0.2">
      <c r="A55" s="5" t="s">
        <v>21</v>
      </c>
      <c r="B55" s="5" t="s">
        <v>22</v>
      </c>
      <c r="C55" s="5" t="s">
        <v>417</v>
      </c>
      <c r="D55" s="5" t="s">
        <v>113</v>
      </c>
    </row>
    <row r="56" spans="1:4" x14ac:dyDescent="0.2">
      <c r="A56" s="5" t="s">
        <v>21</v>
      </c>
      <c r="B56" s="5" t="s">
        <v>22</v>
      </c>
      <c r="C56" s="5" t="s">
        <v>419</v>
      </c>
      <c r="D56" s="5" t="s">
        <v>113</v>
      </c>
    </row>
    <row r="57" spans="1:4" x14ac:dyDescent="0.2">
      <c r="A57" s="5" t="s">
        <v>21</v>
      </c>
      <c r="B57" s="5" t="s">
        <v>22</v>
      </c>
      <c r="C57" s="5" t="s">
        <v>420</v>
      </c>
      <c r="D57" s="5" t="s">
        <v>113</v>
      </c>
    </row>
    <row r="58" spans="1:4" x14ac:dyDescent="0.2">
      <c r="A58" s="5" t="s">
        <v>21</v>
      </c>
      <c r="B58" s="5" t="s">
        <v>22</v>
      </c>
      <c r="C58" s="5" t="s">
        <v>422</v>
      </c>
      <c r="D58" s="5" t="s">
        <v>113</v>
      </c>
    </row>
    <row r="59" spans="1:4" x14ac:dyDescent="0.2">
      <c r="A59" s="5" t="s">
        <v>21</v>
      </c>
      <c r="B59" s="5" t="s">
        <v>22</v>
      </c>
      <c r="C59" s="5" t="s">
        <v>423</v>
      </c>
      <c r="D59" s="5" t="s">
        <v>113</v>
      </c>
    </row>
    <row r="60" spans="1:4" x14ac:dyDescent="0.2">
      <c r="A60" s="5" t="s">
        <v>21</v>
      </c>
      <c r="B60" s="5" t="s">
        <v>22</v>
      </c>
      <c r="C60" s="5" t="s">
        <v>426</v>
      </c>
      <c r="D60" s="5" t="s">
        <v>113</v>
      </c>
    </row>
    <row r="61" spans="1:4" x14ac:dyDescent="0.2">
      <c r="A61" s="5" t="s">
        <v>23</v>
      </c>
      <c r="B61" s="5" t="s">
        <v>11</v>
      </c>
      <c r="C61" s="5" t="s">
        <v>427</v>
      </c>
      <c r="D61" s="5" t="s">
        <v>116</v>
      </c>
    </row>
    <row r="62" spans="1:4" x14ac:dyDescent="0.2">
      <c r="A62" s="5" t="s">
        <v>23</v>
      </c>
      <c r="B62" s="5" t="s">
        <v>11</v>
      </c>
      <c r="C62" s="5" t="s">
        <v>430</v>
      </c>
      <c r="D62" s="5" t="s">
        <v>116</v>
      </c>
    </row>
    <row r="63" spans="1:4" x14ac:dyDescent="0.2">
      <c r="A63" s="5" t="s">
        <v>23</v>
      </c>
      <c r="B63" s="5" t="s">
        <v>11</v>
      </c>
      <c r="C63" s="5" t="s">
        <v>433</v>
      </c>
      <c r="D63" s="5" t="s">
        <v>116</v>
      </c>
    </row>
    <row r="64" spans="1:4" x14ac:dyDescent="0.2">
      <c r="A64" s="5" t="s">
        <v>23</v>
      </c>
      <c r="B64" s="5" t="s">
        <v>11</v>
      </c>
      <c r="C64" s="5" t="s">
        <v>436</v>
      </c>
      <c r="D64" s="5" t="s">
        <v>116</v>
      </c>
    </row>
    <row r="65" spans="1:4" x14ac:dyDescent="0.2">
      <c r="A65" s="5" t="s">
        <v>23</v>
      </c>
      <c r="B65" s="5" t="s">
        <v>11</v>
      </c>
      <c r="C65" s="5" t="s">
        <v>438</v>
      </c>
      <c r="D65" s="5" t="s">
        <v>116</v>
      </c>
    </row>
    <row r="66" spans="1:4" x14ac:dyDescent="0.2">
      <c r="A66" s="5" t="s">
        <v>23</v>
      </c>
      <c r="B66" s="5" t="s">
        <v>11</v>
      </c>
      <c r="C66" s="5" t="s">
        <v>426</v>
      </c>
      <c r="D66" s="5" t="s">
        <v>116</v>
      </c>
    </row>
    <row r="67" spans="1:4" x14ac:dyDescent="0.2">
      <c r="A67" s="5" t="s">
        <v>23</v>
      </c>
      <c r="B67" s="5" t="s">
        <v>11</v>
      </c>
      <c r="C67" s="5" t="s">
        <v>440</v>
      </c>
      <c r="D67" s="5" t="s">
        <v>116</v>
      </c>
    </row>
    <row r="68" spans="1:4" x14ac:dyDescent="0.2">
      <c r="A68" s="5" t="s">
        <v>23</v>
      </c>
      <c r="B68" s="5" t="s">
        <v>11</v>
      </c>
      <c r="C68" s="5" t="s">
        <v>442</v>
      </c>
      <c r="D68" s="5" t="s">
        <v>116</v>
      </c>
    </row>
    <row r="69" spans="1:4" x14ac:dyDescent="0.2">
      <c r="A69" s="5" t="s">
        <v>23</v>
      </c>
      <c r="B69" s="5" t="s">
        <v>11</v>
      </c>
      <c r="C69" s="5" t="s">
        <v>444</v>
      </c>
      <c r="D69" s="5" t="s">
        <v>116</v>
      </c>
    </row>
    <row r="70" spans="1:4" x14ac:dyDescent="0.2">
      <c r="A70" s="5" t="s">
        <v>23</v>
      </c>
      <c r="B70" s="5" t="s">
        <v>11</v>
      </c>
      <c r="C70" s="5" t="s">
        <v>446</v>
      </c>
      <c r="D70" s="5" t="s">
        <v>116</v>
      </c>
    </row>
    <row r="71" spans="1:4" x14ac:dyDescent="0.2">
      <c r="A71" s="5" t="s">
        <v>23</v>
      </c>
      <c r="B71" s="5" t="s">
        <v>11</v>
      </c>
      <c r="C71" s="5" t="s">
        <v>447</v>
      </c>
      <c r="D71" s="5" t="s">
        <v>116</v>
      </c>
    </row>
    <row r="72" spans="1:4" x14ac:dyDescent="0.2">
      <c r="A72" s="5" t="s">
        <v>23</v>
      </c>
      <c r="B72" s="5" t="s">
        <v>11</v>
      </c>
      <c r="C72" s="5" t="s">
        <v>449</v>
      </c>
      <c r="D72" s="5" t="s">
        <v>116</v>
      </c>
    </row>
    <row r="73" spans="1:4" x14ac:dyDescent="0.2">
      <c r="A73" s="5" t="s">
        <v>23</v>
      </c>
      <c r="B73" s="5" t="s">
        <v>11</v>
      </c>
      <c r="C73" s="5" t="s">
        <v>451</v>
      </c>
      <c r="D73" s="5" t="s">
        <v>116</v>
      </c>
    </row>
    <row r="74" spans="1:4" x14ac:dyDescent="0.2">
      <c r="A74" s="5" t="s">
        <v>23</v>
      </c>
      <c r="B74" s="5" t="s">
        <v>11</v>
      </c>
      <c r="C74" s="5" t="s">
        <v>453</v>
      </c>
      <c r="D74" s="5" t="s">
        <v>116</v>
      </c>
    </row>
    <row r="75" spans="1:4" x14ac:dyDescent="0.2">
      <c r="A75" s="5" t="s">
        <v>24</v>
      </c>
      <c r="B75" s="5" t="s">
        <v>20</v>
      </c>
      <c r="C75" s="5" t="s">
        <v>455</v>
      </c>
      <c r="D75" s="5" t="s">
        <v>119</v>
      </c>
    </row>
    <row r="76" spans="1:4" x14ac:dyDescent="0.2">
      <c r="A76" s="5" t="s">
        <v>24</v>
      </c>
      <c r="B76" s="5" t="s">
        <v>20</v>
      </c>
      <c r="C76" s="5" t="s">
        <v>457</v>
      </c>
      <c r="D76" s="5" t="s">
        <v>119</v>
      </c>
    </row>
    <row r="77" spans="1:4" x14ac:dyDescent="0.2">
      <c r="A77" s="5" t="s">
        <v>24</v>
      </c>
      <c r="B77" s="5" t="s">
        <v>20</v>
      </c>
      <c r="C77" s="5" t="s">
        <v>459</v>
      </c>
      <c r="D77" s="5" t="s">
        <v>119</v>
      </c>
    </row>
    <row r="78" spans="1:4" x14ac:dyDescent="0.2">
      <c r="A78" s="5" t="s">
        <v>24</v>
      </c>
      <c r="B78" s="5" t="s">
        <v>20</v>
      </c>
      <c r="C78" s="5" t="s">
        <v>460</v>
      </c>
      <c r="D78" s="5" t="s">
        <v>119</v>
      </c>
    </row>
    <row r="79" spans="1:4" x14ac:dyDescent="0.2">
      <c r="A79" s="5" t="s">
        <v>24</v>
      </c>
      <c r="B79" s="5" t="s">
        <v>20</v>
      </c>
      <c r="C79" s="5" t="s">
        <v>463</v>
      </c>
      <c r="D79" s="5" t="s">
        <v>119</v>
      </c>
    </row>
    <row r="80" spans="1:4" x14ac:dyDescent="0.2">
      <c r="A80" s="5" t="s">
        <v>24</v>
      </c>
      <c r="B80" s="5" t="s">
        <v>20</v>
      </c>
      <c r="C80" s="5" t="s">
        <v>348</v>
      </c>
      <c r="D80" s="5" t="s">
        <v>119</v>
      </c>
    </row>
    <row r="81" spans="1:4" x14ac:dyDescent="0.2">
      <c r="A81" s="5" t="s">
        <v>25</v>
      </c>
      <c r="B81" s="5" t="s">
        <v>26</v>
      </c>
      <c r="C81" s="5" t="s">
        <v>465</v>
      </c>
      <c r="D81" s="5" t="s">
        <v>122</v>
      </c>
    </row>
    <row r="82" spans="1:4" x14ac:dyDescent="0.2">
      <c r="A82" s="5" t="s">
        <v>25</v>
      </c>
      <c r="B82" s="5" t="s">
        <v>26</v>
      </c>
      <c r="C82" s="5" t="s">
        <v>466</v>
      </c>
      <c r="D82" s="5" t="s">
        <v>122</v>
      </c>
    </row>
    <row r="83" spans="1:4" x14ac:dyDescent="0.2">
      <c r="A83" s="5" t="s">
        <v>25</v>
      </c>
      <c r="B83" s="5" t="s">
        <v>26</v>
      </c>
      <c r="C83" s="5" t="s">
        <v>469</v>
      </c>
      <c r="D83" s="5" t="s">
        <v>122</v>
      </c>
    </row>
    <row r="84" spans="1:4" x14ac:dyDescent="0.2">
      <c r="A84" s="5" t="s">
        <v>27</v>
      </c>
      <c r="B84" s="5" t="s">
        <v>11</v>
      </c>
      <c r="C84" s="5" t="s">
        <v>470</v>
      </c>
      <c r="D84" s="5" t="s">
        <v>125</v>
      </c>
    </row>
    <row r="85" spans="1:4" x14ac:dyDescent="0.2">
      <c r="A85" s="5" t="s">
        <v>27</v>
      </c>
      <c r="B85" s="5" t="s">
        <v>11</v>
      </c>
      <c r="C85" s="5" t="s">
        <v>471</v>
      </c>
      <c r="D85" s="5" t="s">
        <v>125</v>
      </c>
    </row>
    <row r="86" spans="1:4" x14ac:dyDescent="0.2">
      <c r="A86" s="5" t="s">
        <v>27</v>
      </c>
      <c r="B86" s="5" t="s">
        <v>11</v>
      </c>
      <c r="C86" s="5" t="s">
        <v>472</v>
      </c>
      <c r="D86" s="5" t="s">
        <v>125</v>
      </c>
    </row>
    <row r="87" spans="1:4" x14ac:dyDescent="0.2">
      <c r="A87" s="5" t="s">
        <v>27</v>
      </c>
      <c r="B87" s="5" t="s">
        <v>11</v>
      </c>
      <c r="C87" s="5" t="s">
        <v>473</v>
      </c>
      <c r="D87" s="5" t="s">
        <v>125</v>
      </c>
    </row>
    <row r="88" spans="1:4" x14ac:dyDescent="0.2">
      <c r="A88" s="5" t="s">
        <v>27</v>
      </c>
      <c r="B88" s="5" t="s">
        <v>11</v>
      </c>
      <c r="C88" s="5" t="s">
        <v>474</v>
      </c>
      <c r="D88" s="5" t="s">
        <v>125</v>
      </c>
    </row>
    <row r="89" spans="1:4" x14ac:dyDescent="0.2">
      <c r="A89" s="5" t="s">
        <v>27</v>
      </c>
      <c r="B89" s="5" t="s">
        <v>11</v>
      </c>
      <c r="C89" s="5" t="s">
        <v>476</v>
      </c>
      <c r="D89" s="5" t="s">
        <v>125</v>
      </c>
    </row>
    <row r="90" spans="1:4" x14ac:dyDescent="0.2">
      <c r="A90" s="5" t="s">
        <v>27</v>
      </c>
      <c r="B90" s="5" t="s">
        <v>11</v>
      </c>
      <c r="C90" s="5" t="s">
        <v>478</v>
      </c>
      <c r="D90" s="5" t="s">
        <v>125</v>
      </c>
    </row>
    <row r="91" spans="1:4" x14ac:dyDescent="0.2">
      <c r="A91" s="5" t="s">
        <v>27</v>
      </c>
      <c r="B91" s="5" t="s">
        <v>11</v>
      </c>
      <c r="C91" s="5" t="s">
        <v>480</v>
      </c>
      <c r="D91" s="5" t="s">
        <v>125</v>
      </c>
    </row>
    <row r="92" spans="1:4" x14ac:dyDescent="0.2">
      <c r="A92" s="5" t="s">
        <v>27</v>
      </c>
      <c r="B92" s="5" t="s">
        <v>11</v>
      </c>
      <c r="C92" s="5" t="s">
        <v>482</v>
      </c>
      <c r="D92" s="5" t="s">
        <v>125</v>
      </c>
    </row>
    <row r="93" spans="1:4" x14ac:dyDescent="0.2">
      <c r="A93" s="5" t="s">
        <v>27</v>
      </c>
      <c r="B93" s="5" t="s">
        <v>11</v>
      </c>
      <c r="C93" s="5" t="s">
        <v>485</v>
      </c>
      <c r="D93" s="5" t="s">
        <v>125</v>
      </c>
    </row>
    <row r="94" spans="1:4" x14ac:dyDescent="0.2">
      <c r="A94" s="5" t="s">
        <v>27</v>
      </c>
      <c r="B94" s="5" t="s">
        <v>11</v>
      </c>
      <c r="C94" s="5" t="s">
        <v>469</v>
      </c>
      <c r="D94" s="5" t="s">
        <v>125</v>
      </c>
    </row>
    <row r="95" spans="1:4" x14ac:dyDescent="0.2">
      <c r="A95" s="5" t="s">
        <v>27</v>
      </c>
      <c r="B95" s="5" t="s">
        <v>11</v>
      </c>
      <c r="C95" s="5" t="s">
        <v>487</v>
      </c>
      <c r="D95" s="5" t="s">
        <v>125</v>
      </c>
    </row>
    <row r="96" spans="1:4" x14ac:dyDescent="0.2">
      <c r="A96" s="5" t="s">
        <v>27</v>
      </c>
      <c r="B96" s="5" t="s">
        <v>11</v>
      </c>
      <c r="C96" s="5" t="s">
        <v>488</v>
      </c>
      <c r="D96" s="5" t="s">
        <v>125</v>
      </c>
    </row>
    <row r="97" spans="1:4" x14ac:dyDescent="0.2">
      <c r="A97" s="5" t="s">
        <v>27</v>
      </c>
      <c r="B97" s="5" t="s">
        <v>11</v>
      </c>
      <c r="C97" s="5" t="s">
        <v>491</v>
      </c>
      <c r="D97" s="5" t="s">
        <v>125</v>
      </c>
    </row>
    <row r="98" spans="1:4" x14ac:dyDescent="0.2">
      <c r="A98" s="5" t="s">
        <v>27</v>
      </c>
      <c r="B98" s="5" t="s">
        <v>11</v>
      </c>
      <c r="C98" s="5" t="s">
        <v>494</v>
      </c>
      <c r="D98" s="5" t="s">
        <v>125</v>
      </c>
    </row>
    <row r="99" spans="1:4" x14ac:dyDescent="0.2">
      <c r="A99" s="5" t="s">
        <v>28</v>
      </c>
      <c r="B99" s="5" t="s">
        <v>11</v>
      </c>
      <c r="C99" s="5" t="s">
        <v>496</v>
      </c>
      <c r="D99" s="5" t="s">
        <v>128</v>
      </c>
    </row>
    <row r="100" spans="1:4" x14ac:dyDescent="0.2">
      <c r="A100" s="5" t="s">
        <v>28</v>
      </c>
      <c r="B100" s="5" t="s">
        <v>11</v>
      </c>
      <c r="C100" s="5" t="s">
        <v>499</v>
      </c>
      <c r="D100" s="5" t="s">
        <v>128</v>
      </c>
    </row>
    <row r="101" spans="1:4" x14ac:dyDescent="0.2">
      <c r="A101" s="5" t="s">
        <v>28</v>
      </c>
      <c r="B101" s="5" t="s">
        <v>11</v>
      </c>
      <c r="C101" s="5" t="s">
        <v>501</v>
      </c>
      <c r="D101" s="5" t="s">
        <v>128</v>
      </c>
    </row>
    <row r="102" spans="1:4" x14ac:dyDescent="0.2">
      <c r="A102" s="5" t="s">
        <v>28</v>
      </c>
      <c r="B102" s="5" t="s">
        <v>11</v>
      </c>
      <c r="C102" s="5" t="s">
        <v>422</v>
      </c>
      <c r="D102" s="5" t="s">
        <v>128</v>
      </c>
    </row>
    <row r="103" spans="1:4" x14ac:dyDescent="0.2">
      <c r="A103" s="5" t="s">
        <v>28</v>
      </c>
      <c r="B103" s="5" t="s">
        <v>11</v>
      </c>
      <c r="C103" s="5" t="s">
        <v>503</v>
      </c>
      <c r="D103" s="5" t="s">
        <v>128</v>
      </c>
    </row>
    <row r="104" spans="1:4" x14ac:dyDescent="0.2">
      <c r="A104" s="5" t="s">
        <v>28</v>
      </c>
      <c r="B104" s="5" t="s">
        <v>11</v>
      </c>
      <c r="C104" s="5" t="s">
        <v>345</v>
      </c>
      <c r="D104" s="5" t="s">
        <v>128</v>
      </c>
    </row>
    <row r="105" spans="1:4" x14ac:dyDescent="0.2">
      <c r="A105" s="5" t="s">
        <v>28</v>
      </c>
      <c r="B105" s="5" t="s">
        <v>11</v>
      </c>
      <c r="C105" s="5" t="s">
        <v>505</v>
      </c>
      <c r="D105" s="5" t="s">
        <v>128</v>
      </c>
    </row>
    <row r="106" spans="1:4" x14ac:dyDescent="0.2">
      <c r="A106" s="5" t="s">
        <v>28</v>
      </c>
      <c r="B106" s="5" t="s">
        <v>11</v>
      </c>
      <c r="C106" s="5" t="s">
        <v>508</v>
      </c>
      <c r="D106" s="5" t="s">
        <v>128</v>
      </c>
    </row>
    <row r="107" spans="1:4" x14ac:dyDescent="0.2">
      <c r="A107" s="5" t="s">
        <v>29</v>
      </c>
      <c r="B107" s="5" t="s">
        <v>20</v>
      </c>
      <c r="C107" s="5" t="s">
        <v>511</v>
      </c>
      <c r="D107" s="5" t="s">
        <v>131</v>
      </c>
    </row>
    <row r="108" spans="1:4" x14ac:dyDescent="0.2">
      <c r="A108" s="5" t="s">
        <v>29</v>
      </c>
      <c r="B108" s="5" t="s">
        <v>20</v>
      </c>
      <c r="C108" s="5" t="s">
        <v>514</v>
      </c>
      <c r="D108" s="5" t="s">
        <v>131</v>
      </c>
    </row>
    <row r="109" spans="1:4" x14ac:dyDescent="0.2">
      <c r="A109" s="5" t="s">
        <v>29</v>
      </c>
      <c r="B109" s="5" t="s">
        <v>20</v>
      </c>
      <c r="C109" s="5" t="s">
        <v>516</v>
      </c>
      <c r="D109" s="5" t="s">
        <v>131</v>
      </c>
    </row>
    <row r="110" spans="1:4" x14ac:dyDescent="0.2">
      <c r="A110" s="5" t="s">
        <v>29</v>
      </c>
      <c r="B110" s="5" t="s">
        <v>20</v>
      </c>
      <c r="C110" s="5" t="s">
        <v>517</v>
      </c>
      <c r="D110" s="5" t="s">
        <v>131</v>
      </c>
    </row>
    <row r="111" spans="1:4" x14ac:dyDescent="0.2">
      <c r="A111" s="5" t="s">
        <v>29</v>
      </c>
      <c r="B111" s="5" t="s">
        <v>20</v>
      </c>
      <c r="C111" s="5" t="s">
        <v>519</v>
      </c>
      <c r="D111" s="5" t="s">
        <v>131</v>
      </c>
    </row>
    <row r="112" spans="1:4" x14ac:dyDescent="0.2">
      <c r="A112" s="5" t="s">
        <v>29</v>
      </c>
      <c r="B112" s="5" t="s">
        <v>20</v>
      </c>
      <c r="C112" s="5" t="s">
        <v>521</v>
      </c>
      <c r="D112" s="5" t="s">
        <v>131</v>
      </c>
    </row>
    <row r="113" spans="1:4" x14ac:dyDescent="0.2">
      <c r="A113" s="5" t="s">
        <v>29</v>
      </c>
      <c r="B113" s="5" t="s">
        <v>20</v>
      </c>
      <c r="C113" s="5" t="s">
        <v>523</v>
      </c>
      <c r="D113" s="5" t="s">
        <v>131</v>
      </c>
    </row>
    <row r="114" spans="1:4" x14ac:dyDescent="0.2">
      <c r="A114" s="5" t="s">
        <v>29</v>
      </c>
      <c r="B114" s="5" t="s">
        <v>20</v>
      </c>
      <c r="C114" s="5" t="s">
        <v>348</v>
      </c>
      <c r="D114" s="5" t="s">
        <v>131</v>
      </c>
    </row>
    <row r="115" spans="1:4" x14ac:dyDescent="0.2">
      <c r="A115" s="5" t="s">
        <v>30</v>
      </c>
      <c r="B115" s="5" t="s">
        <v>11</v>
      </c>
      <c r="C115" s="5" t="s">
        <v>525</v>
      </c>
      <c r="D115" s="5" t="s">
        <v>134</v>
      </c>
    </row>
    <row r="116" spans="1:4" x14ac:dyDescent="0.2">
      <c r="A116" s="5" t="s">
        <v>30</v>
      </c>
      <c r="B116" s="5" t="s">
        <v>11</v>
      </c>
      <c r="C116" s="5" t="s">
        <v>527</v>
      </c>
      <c r="D116" s="5" t="s">
        <v>134</v>
      </c>
    </row>
    <row r="117" spans="1:4" x14ac:dyDescent="0.2">
      <c r="A117" s="5" t="s">
        <v>30</v>
      </c>
      <c r="B117" s="5" t="s">
        <v>11</v>
      </c>
      <c r="C117" s="5" t="s">
        <v>529</v>
      </c>
      <c r="D117" s="5" t="s">
        <v>134</v>
      </c>
    </row>
    <row r="118" spans="1:4" x14ac:dyDescent="0.2">
      <c r="A118" s="5" t="s">
        <v>30</v>
      </c>
      <c r="B118" s="5" t="s">
        <v>11</v>
      </c>
      <c r="C118" s="5" t="s">
        <v>532</v>
      </c>
      <c r="D118" s="5" t="s">
        <v>134</v>
      </c>
    </row>
    <row r="119" spans="1:4" x14ac:dyDescent="0.2">
      <c r="A119" s="5" t="s">
        <v>30</v>
      </c>
      <c r="B119" s="5" t="s">
        <v>11</v>
      </c>
      <c r="C119" s="5" t="s">
        <v>508</v>
      </c>
      <c r="D119" s="5" t="s">
        <v>134</v>
      </c>
    </row>
    <row r="120" spans="1:4" x14ac:dyDescent="0.2">
      <c r="A120" s="5" t="s">
        <v>30</v>
      </c>
      <c r="B120" s="5" t="s">
        <v>11</v>
      </c>
      <c r="C120" s="5" t="s">
        <v>533</v>
      </c>
      <c r="D120" s="5" t="s">
        <v>134</v>
      </c>
    </row>
    <row r="121" spans="1:4" x14ac:dyDescent="0.2">
      <c r="A121" s="5" t="s">
        <v>31</v>
      </c>
      <c r="B121" s="5" t="s">
        <v>11</v>
      </c>
      <c r="C121" s="5" t="s">
        <v>534</v>
      </c>
      <c r="D121" s="5" t="s">
        <v>137</v>
      </c>
    </row>
    <row r="122" spans="1:4" x14ac:dyDescent="0.2">
      <c r="A122" s="5" t="s">
        <v>31</v>
      </c>
      <c r="B122" s="5" t="s">
        <v>11</v>
      </c>
      <c r="C122" s="5" t="s">
        <v>536</v>
      </c>
      <c r="D122" s="5" t="s">
        <v>137</v>
      </c>
    </row>
    <row r="123" spans="1:4" x14ac:dyDescent="0.2">
      <c r="A123" s="5" t="s">
        <v>31</v>
      </c>
      <c r="B123" s="5" t="s">
        <v>11</v>
      </c>
      <c r="C123" s="5" t="s">
        <v>537</v>
      </c>
      <c r="D123" s="5" t="s">
        <v>137</v>
      </c>
    </row>
    <row r="124" spans="1:4" x14ac:dyDescent="0.2">
      <c r="A124" s="5" t="s">
        <v>31</v>
      </c>
      <c r="B124" s="5" t="s">
        <v>11</v>
      </c>
      <c r="C124" s="5" t="s">
        <v>540</v>
      </c>
      <c r="D124" s="5" t="s">
        <v>137</v>
      </c>
    </row>
    <row r="125" spans="1:4" x14ac:dyDescent="0.2">
      <c r="A125" s="5" t="s">
        <v>31</v>
      </c>
      <c r="B125" s="5" t="s">
        <v>11</v>
      </c>
      <c r="C125" s="5" t="s">
        <v>542</v>
      </c>
      <c r="D125" s="5" t="s">
        <v>137</v>
      </c>
    </row>
    <row r="126" spans="1:4" x14ac:dyDescent="0.2">
      <c r="A126" s="5" t="s">
        <v>31</v>
      </c>
      <c r="B126" s="5" t="s">
        <v>11</v>
      </c>
      <c r="C126" s="5" t="s">
        <v>544</v>
      </c>
      <c r="D126" s="5" t="s">
        <v>137</v>
      </c>
    </row>
    <row r="127" spans="1:4" x14ac:dyDescent="0.2">
      <c r="A127" s="5" t="s">
        <v>31</v>
      </c>
      <c r="B127" s="5" t="s">
        <v>11</v>
      </c>
      <c r="C127" s="5" t="s">
        <v>547</v>
      </c>
      <c r="D127" s="5" t="s">
        <v>137</v>
      </c>
    </row>
    <row r="128" spans="1:4" x14ac:dyDescent="0.2">
      <c r="A128" s="5" t="s">
        <v>31</v>
      </c>
      <c r="B128" s="5" t="s">
        <v>11</v>
      </c>
      <c r="C128" s="5" t="s">
        <v>548</v>
      </c>
      <c r="D128" s="5" t="s">
        <v>137</v>
      </c>
    </row>
    <row r="129" spans="1:4" x14ac:dyDescent="0.2">
      <c r="A129" s="5" t="s">
        <v>31</v>
      </c>
      <c r="B129" s="5" t="s">
        <v>11</v>
      </c>
      <c r="C129" s="5" t="s">
        <v>550</v>
      </c>
      <c r="D129" s="5" t="s">
        <v>137</v>
      </c>
    </row>
    <row r="130" spans="1:4" x14ac:dyDescent="0.2">
      <c r="A130" s="5" t="s">
        <v>32</v>
      </c>
      <c r="B130" s="5" t="s">
        <v>11</v>
      </c>
      <c r="C130" s="5" t="s">
        <v>552</v>
      </c>
      <c r="D130" s="5" t="s">
        <v>140</v>
      </c>
    </row>
    <row r="131" spans="1:4" x14ac:dyDescent="0.2">
      <c r="A131" s="5" t="s">
        <v>32</v>
      </c>
      <c r="B131" s="5" t="s">
        <v>11</v>
      </c>
      <c r="C131" s="5" t="s">
        <v>555</v>
      </c>
      <c r="D131" s="5" t="s">
        <v>140</v>
      </c>
    </row>
    <row r="132" spans="1:4" x14ac:dyDescent="0.2">
      <c r="A132" s="5" t="s">
        <v>32</v>
      </c>
      <c r="B132" s="5" t="s">
        <v>11</v>
      </c>
      <c r="C132" s="5" t="s">
        <v>557</v>
      </c>
      <c r="D132" s="5" t="s">
        <v>140</v>
      </c>
    </row>
    <row r="133" spans="1:4" x14ac:dyDescent="0.2">
      <c r="A133" s="5" t="s">
        <v>32</v>
      </c>
      <c r="B133" s="5" t="s">
        <v>11</v>
      </c>
      <c r="C133" s="5" t="s">
        <v>558</v>
      </c>
      <c r="D133" s="5" t="s">
        <v>140</v>
      </c>
    </row>
    <row r="134" spans="1:4" x14ac:dyDescent="0.2">
      <c r="A134" s="5" t="s">
        <v>32</v>
      </c>
      <c r="B134" s="5" t="s">
        <v>11</v>
      </c>
      <c r="C134" s="5" t="s">
        <v>559</v>
      </c>
      <c r="D134" s="5" t="s">
        <v>140</v>
      </c>
    </row>
    <row r="135" spans="1:4" x14ac:dyDescent="0.2">
      <c r="A135" s="5" t="s">
        <v>32</v>
      </c>
      <c r="B135" s="5" t="s">
        <v>11</v>
      </c>
      <c r="C135" s="5" t="s">
        <v>562</v>
      </c>
      <c r="D135" s="5" t="s">
        <v>140</v>
      </c>
    </row>
    <row r="136" spans="1:4" x14ac:dyDescent="0.2">
      <c r="A136" s="5" t="s">
        <v>32</v>
      </c>
      <c r="B136" s="5" t="s">
        <v>11</v>
      </c>
      <c r="C136" s="5" t="s">
        <v>563</v>
      </c>
      <c r="D136" s="5" t="s">
        <v>140</v>
      </c>
    </row>
    <row r="137" spans="1:4" x14ac:dyDescent="0.2">
      <c r="A137" s="5" t="s">
        <v>32</v>
      </c>
      <c r="B137" s="5" t="s">
        <v>11</v>
      </c>
      <c r="C137" s="5" t="s">
        <v>565</v>
      </c>
      <c r="D137" s="5" t="s">
        <v>140</v>
      </c>
    </row>
    <row r="138" spans="1:4" x14ac:dyDescent="0.2">
      <c r="A138" s="5" t="s">
        <v>32</v>
      </c>
      <c r="B138" s="5" t="s">
        <v>11</v>
      </c>
      <c r="C138" s="5" t="s">
        <v>567</v>
      </c>
      <c r="D138" s="5" t="s">
        <v>140</v>
      </c>
    </row>
    <row r="139" spans="1:4" x14ac:dyDescent="0.2">
      <c r="A139" s="5" t="s">
        <v>32</v>
      </c>
      <c r="B139" s="5" t="s">
        <v>11</v>
      </c>
      <c r="C139" s="5" t="s">
        <v>422</v>
      </c>
      <c r="D139" s="5" t="s">
        <v>140</v>
      </c>
    </row>
    <row r="140" spans="1:4" x14ac:dyDescent="0.2">
      <c r="A140" s="5" t="s">
        <v>32</v>
      </c>
      <c r="B140" s="5" t="s">
        <v>11</v>
      </c>
      <c r="C140" s="5" t="s">
        <v>569</v>
      </c>
      <c r="D140" s="5" t="s">
        <v>140</v>
      </c>
    </row>
    <row r="141" spans="1:4" x14ac:dyDescent="0.2">
      <c r="A141" s="5" t="s">
        <v>32</v>
      </c>
      <c r="B141" s="5" t="s">
        <v>11</v>
      </c>
      <c r="C141" s="5" t="s">
        <v>570</v>
      </c>
      <c r="D141" s="5" t="s">
        <v>140</v>
      </c>
    </row>
    <row r="142" spans="1:4" x14ac:dyDescent="0.2">
      <c r="A142" s="5" t="s">
        <v>32</v>
      </c>
      <c r="B142" s="5" t="s">
        <v>11</v>
      </c>
      <c r="C142" s="5" t="s">
        <v>572</v>
      </c>
      <c r="D142" s="5" t="s">
        <v>140</v>
      </c>
    </row>
    <row r="143" spans="1:4" x14ac:dyDescent="0.2">
      <c r="A143" s="5" t="s">
        <v>32</v>
      </c>
      <c r="B143" s="5" t="s">
        <v>11</v>
      </c>
      <c r="C143" s="5" t="s">
        <v>573</v>
      </c>
      <c r="D143" s="5" t="s">
        <v>140</v>
      </c>
    </row>
    <row r="144" spans="1:4" x14ac:dyDescent="0.2">
      <c r="A144" s="5" t="s">
        <v>32</v>
      </c>
      <c r="B144" s="5" t="s">
        <v>11</v>
      </c>
      <c r="C144" s="5" t="s">
        <v>345</v>
      </c>
      <c r="D144" s="5" t="s">
        <v>140</v>
      </c>
    </row>
    <row r="145" spans="1:4" x14ac:dyDescent="0.2">
      <c r="A145" s="5" t="s">
        <v>32</v>
      </c>
      <c r="B145" s="5" t="s">
        <v>11</v>
      </c>
      <c r="C145" s="5" t="s">
        <v>574</v>
      </c>
      <c r="D145" s="5" t="s">
        <v>140</v>
      </c>
    </row>
    <row r="146" spans="1:4" x14ac:dyDescent="0.2">
      <c r="A146" s="5" t="s">
        <v>33</v>
      </c>
      <c r="B146" s="5" t="s">
        <v>17</v>
      </c>
      <c r="C146" s="5" t="s">
        <v>577</v>
      </c>
      <c r="D146" s="5" t="s">
        <v>143</v>
      </c>
    </row>
    <row r="147" spans="1:4" x14ac:dyDescent="0.2">
      <c r="A147" s="5" t="s">
        <v>33</v>
      </c>
      <c r="B147" s="5" t="s">
        <v>17</v>
      </c>
      <c r="C147" s="5" t="s">
        <v>580</v>
      </c>
      <c r="D147" s="5" t="s">
        <v>143</v>
      </c>
    </row>
    <row r="148" spans="1:4" x14ac:dyDescent="0.2">
      <c r="A148" s="5" t="s">
        <v>33</v>
      </c>
      <c r="B148" s="5" t="s">
        <v>17</v>
      </c>
      <c r="C148" s="5" t="s">
        <v>583</v>
      </c>
      <c r="D148" s="5" t="s">
        <v>143</v>
      </c>
    </row>
    <row r="149" spans="1:4" x14ac:dyDescent="0.2">
      <c r="A149" s="5" t="s">
        <v>33</v>
      </c>
      <c r="B149" s="5" t="s">
        <v>17</v>
      </c>
      <c r="C149" s="5" t="s">
        <v>585</v>
      </c>
      <c r="D149" s="5" t="s">
        <v>143</v>
      </c>
    </row>
    <row r="150" spans="1:4" x14ac:dyDescent="0.2">
      <c r="A150" s="5" t="s">
        <v>33</v>
      </c>
      <c r="B150" s="5" t="s">
        <v>17</v>
      </c>
      <c r="C150" s="5" t="s">
        <v>586</v>
      </c>
      <c r="D150" s="5" t="s">
        <v>143</v>
      </c>
    </row>
    <row r="151" spans="1:4" x14ac:dyDescent="0.2">
      <c r="A151" s="5" t="s">
        <v>33</v>
      </c>
      <c r="B151" s="5" t="s">
        <v>17</v>
      </c>
      <c r="C151" s="5" t="s">
        <v>588</v>
      </c>
      <c r="D151" s="5" t="s">
        <v>143</v>
      </c>
    </row>
    <row r="152" spans="1:4" x14ac:dyDescent="0.2">
      <c r="A152" s="5" t="s">
        <v>33</v>
      </c>
      <c r="B152" s="5" t="s">
        <v>17</v>
      </c>
      <c r="C152" s="5" t="s">
        <v>590</v>
      </c>
      <c r="D152" s="5" t="s">
        <v>143</v>
      </c>
    </row>
    <row r="153" spans="1:4" x14ac:dyDescent="0.2">
      <c r="A153" s="5" t="s">
        <v>34</v>
      </c>
      <c r="B153" s="5" t="s">
        <v>22</v>
      </c>
      <c r="C153" s="5" t="s">
        <v>591</v>
      </c>
      <c r="D153" s="5" t="s">
        <v>146</v>
      </c>
    </row>
    <row r="154" spans="1:4" x14ac:dyDescent="0.2">
      <c r="A154" s="5" t="s">
        <v>34</v>
      </c>
      <c r="B154" s="5" t="s">
        <v>22</v>
      </c>
      <c r="C154" s="5" t="s">
        <v>592</v>
      </c>
      <c r="D154" s="5" t="s">
        <v>146</v>
      </c>
    </row>
    <row r="155" spans="1:4" x14ac:dyDescent="0.2">
      <c r="A155" s="5" t="s">
        <v>34</v>
      </c>
      <c r="B155" s="5" t="s">
        <v>22</v>
      </c>
      <c r="C155" s="5" t="s">
        <v>593</v>
      </c>
      <c r="D155" s="5" t="s">
        <v>146</v>
      </c>
    </row>
    <row r="156" spans="1:4" x14ac:dyDescent="0.2">
      <c r="A156" s="5" t="s">
        <v>34</v>
      </c>
      <c r="B156" s="5" t="s">
        <v>22</v>
      </c>
      <c r="C156" s="5" t="s">
        <v>590</v>
      </c>
      <c r="D156" s="5" t="s">
        <v>146</v>
      </c>
    </row>
    <row r="157" spans="1:4" x14ac:dyDescent="0.2">
      <c r="A157" s="5" t="s">
        <v>34</v>
      </c>
      <c r="B157" s="5" t="s">
        <v>22</v>
      </c>
      <c r="C157" s="5" t="s">
        <v>594</v>
      </c>
      <c r="D157" s="5" t="s">
        <v>146</v>
      </c>
    </row>
    <row r="158" spans="1:4" x14ac:dyDescent="0.2">
      <c r="A158" s="5" t="s">
        <v>35</v>
      </c>
      <c r="B158" s="5" t="s">
        <v>11</v>
      </c>
      <c r="C158" s="5" t="s">
        <v>596</v>
      </c>
      <c r="D158" s="5" t="s">
        <v>149</v>
      </c>
    </row>
    <row r="159" spans="1:4" x14ac:dyDescent="0.2">
      <c r="A159" s="5" t="s">
        <v>35</v>
      </c>
      <c r="B159" s="5" t="s">
        <v>11</v>
      </c>
      <c r="C159" s="5" t="s">
        <v>598</v>
      </c>
      <c r="D159" s="5" t="s">
        <v>149</v>
      </c>
    </row>
    <row r="160" spans="1:4" x14ac:dyDescent="0.2">
      <c r="A160" s="5" t="s">
        <v>35</v>
      </c>
      <c r="B160" s="5" t="s">
        <v>11</v>
      </c>
      <c r="C160" s="5" t="s">
        <v>601</v>
      </c>
      <c r="D160" s="5" t="s">
        <v>149</v>
      </c>
    </row>
    <row r="161" spans="1:4" x14ac:dyDescent="0.2">
      <c r="A161" s="5" t="s">
        <v>35</v>
      </c>
      <c r="B161" s="5" t="s">
        <v>11</v>
      </c>
      <c r="C161" s="5" t="s">
        <v>603</v>
      </c>
      <c r="D161" s="5" t="s">
        <v>149</v>
      </c>
    </row>
    <row r="162" spans="1:4" x14ac:dyDescent="0.2">
      <c r="A162" s="5" t="s">
        <v>35</v>
      </c>
      <c r="B162" s="5" t="s">
        <v>11</v>
      </c>
      <c r="C162" s="5" t="s">
        <v>605</v>
      </c>
      <c r="D162" s="5" t="s">
        <v>149</v>
      </c>
    </row>
    <row r="163" spans="1:4" x14ac:dyDescent="0.2">
      <c r="A163" s="5" t="s">
        <v>35</v>
      </c>
      <c r="B163" s="5" t="s">
        <v>11</v>
      </c>
      <c r="C163" s="5" t="s">
        <v>606</v>
      </c>
      <c r="D163" s="5" t="s">
        <v>149</v>
      </c>
    </row>
    <row r="164" spans="1:4" x14ac:dyDescent="0.2">
      <c r="A164" s="5" t="s">
        <v>35</v>
      </c>
      <c r="B164" s="5" t="s">
        <v>11</v>
      </c>
      <c r="C164" s="5" t="s">
        <v>607</v>
      </c>
      <c r="D164" s="5" t="s">
        <v>149</v>
      </c>
    </row>
    <row r="165" spans="1:4" x14ac:dyDescent="0.2">
      <c r="A165" s="5" t="s">
        <v>35</v>
      </c>
      <c r="B165" s="5" t="s">
        <v>11</v>
      </c>
      <c r="C165" s="5" t="s">
        <v>610</v>
      </c>
      <c r="D165" s="5" t="s">
        <v>149</v>
      </c>
    </row>
    <row r="166" spans="1:4" x14ac:dyDescent="0.2">
      <c r="A166" s="5" t="s">
        <v>35</v>
      </c>
      <c r="B166" s="5" t="s">
        <v>11</v>
      </c>
      <c r="C166" s="5" t="s">
        <v>612</v>
      </c>
      <c r="D166" s="5" t="s">
        <v>149</v>
      </c>
    </row>
    <row r="167" spans="1:4" x14ac:dyDescent="0.2">
      <c r="A167" s="5" t="s">
        <v>35</v>
      </c>
      <c r="B167" s="5" t="s">
        <v>11</v>
      </c>
      <c r="C167" s="5" t="s">
        <v>614</v>
      </c>
      <c r="D167" s="5" t="s">
        <v>149</v>
      </c>
    </row>
    <row r="168" spans="1:4" x14ac:dyDescent="0.2">
      <c r="A168" s="5" t="s">
        <v>35</v>
      </c>
      <c r="B168" s="5" t="s">
        <v>11</v>
      </c>
      <c r="C168" s="5" t="s">
        <v>494</v>
      </c>
      <c r="D168" s="5" t="s">
        <v>149</v>
      </c>
    </row>
    <row r="169" spans="1:4" x14ac:dyDescent="0.2">
      <c r="A169" s="5" t="s">
        <v>36</v>
      </c>
      <c r="B169" s="5" t="s">
        <v>11</v>
      </c>
      <c r="C169" s="5" t="s">
        <v>615</v>
      </c>
      <c r="D169" s="5" t="s">
        <v>152</v>
      </c>
    </row>
    <row r="170" spans="1:4" x14ac:dyDescent="0.2">
      <c r="A170" s="5" t="s">
        <v>36</v>
      </c>
      <c r="B170" s="5" t="s">
        <v>11</v>
      </c>
      <c r="C170" s="5" t="s">
        <v>617</v>
      </c>
      <c r="D170" s="5" t="s">
        <v>152</v>
      </c>
    </row>
    <row r="171" spans="1:4" x14ac:dyDescent="0.2">
      <c r="A171" s="5" t="s">
        <v>36</v>
      </c>
      <c r="B171" s="5" t="s">
        <v>11</v>
      </c>
      <c r="C171" s="5" t="s">
        <v>619</v>
      </c>
      <c r="D171" s="5" t="s">
        <v>152</v>
      </c>
    </row>
    <row r="172" spans="1:4" x14ac:dyDescent="0.2">
      <c r="A172" s="5" t="s">
        <v>36</v>
      </c>
      <c r="B172" s="5" t="s">
        <v>11</v>
      </c>
      <c r="C172" s="5" t="s">
        <v>621</v>
      </c>
      <c r="D172" s="5" t="s">
        <v>152</v>
      </c>
    </row>
    <row r="173" spans="1:4" x14ac:dyDescent="0.2">
      <c r="A173" s="5" t="s">
        <v>36</v>
      </c>
      <c r="B173" s="5" t="s">
        <v>11</v>
      </c>
      <c r="C173" s="5" t="s">
        <v>622</v>
      </c>
      <c r="D173" s="5" t="s">
        <v>152</v>
      </c>
    </row>
    <row r="174" spans="1:4" x14ac:dyDescent="0.2">
      <c r="A174" s="5" t="s">
        <v>37</v>
      </c>
      <c r="B174" s="5" t="s">
        <v>14</v>
      </c>
      <c r="C174" s="5" t="s">
        <v>627</v>
      </c>
      <c r="D174" s="5" t="s">
        <v>155</v>
      </c>
    </row>
    <row r="175" spans="1:4" x14ac:dyDescent="0.2">
      <c r="A175" s="5" t="s">
        <v>37</v>
      </c>
      <c r="B175" s="5" t="s">
        <v>14</v>
      </c>
      <c r="C175" s="5" t="s">
        <v>629</v>
      </c>
      <c r="D175" s="5" t="s">
        <v>155</v>
      </c>
    </row>
    <row r="176" spans="1:4" x14ac:dyDescent="0.2">
      <c r="A176" s="5" t="s">
        <v>37</v>
      </c>
      <c r="B176" s="5" t="s">
        <v>14</v>
      </c>
      <c r="C176" s="5" t="s">
        <v>630</v>
      </c>
      <c r="D176" s="5" t="s">
        <v>155</v>
      </c>
    </row>
    <row r="177" spans="1:4" x14ac:dyDescent="0.2">
      <c r="A177" s="5" t="s">
        <v>37</v>
      </c>
      <c r="B177" s="5" t="s">
        <v>14</v>
      </c>
      <c r="C177" s="5" t="s">
        <v>631</v>
      </c>
      <c r="D177" s="5" t="s">
        <v>155</v>
      </c>
    </row>
    <row r="178" spans="1:4" x14ac:dyDescent="0.2">
      <c r="A178" s="5" t="s">
        <v>37</v>
      </c>
      <c r="B178" s="5" t="s">
        <v>14</v>
      </c>
      <c r="C178" s="5" t="s">
        <v>634</v>
      </c>
      <c r="D178" s="5" t="s">
        <v>155</v>
      </c>
    </row>
    <row r="179" spans="1:4" x14ac:dyDescent="0.2">
      <c r="A179" s="5" t="s">
        <v>37</v>
      </c>
      <c r="B179" s="5" t="s">
        <v>14</v>
      </c>
      <c r="C179" s="5" t="s">
        <v>635</v>
      </c>
      <c r="D179" s="5" t="s">
        <v>155</v>
      </c>
    </row>
    <row r="180" spans="1:4" x14ac:dyDescent="0.2">
      <c r="A180" s="5" t="s">
        <v>37</v>
      </c>
      <c r="B180" s="5" t="s">
        <v>14</v>
      </c>
      <c r="C180" s="5" t="s">
        <v>494</v>
      </c>
      <c r="D180" s="5" t="s">
        <v>155</v>
      </c>
    </row>
    <row r="181" spans="1:4" x14ac:dyDescent="0.2">
      <c r="A181" s="5" t="s">
        <v>37</v>
      </c>
      <c r="B181" s="5" t="s">
        <v>14</v>
      </c>
      <c r="C181" s="5" t="s">
        <v>393</v>
      </c>
      <c r="D181" s="5" t="s">
        <v>155</v>
      </c>
    </row>
    <row r="182" spans="1:4" x14ac:dyDescent="0.2">
      <c r="A182" s="5" t="s">
        <v>38</v>
      </c>
      <c r="B182" s="5" t="s">
        <v>11</v>
      </c>
      <c r="C182" s="5" t="s">
        <v>637</v>
      </c>
      <c r="D182" s="5" t="s">
        <v>158</v>
      </c>
    </row>
    <row r="183" spans="1:4" x14ac:dyDescent="0.2">
      <c r="A183" s="5" t="s">
        <v>38</v>
      </c>
      <c r="B183" s="5" t="s">
        <v>11</v>
      </c>
      <c r="C183" s="5" t="s">
        <v>639</v>
      </c>
      <c r="D183" s="5" t="s">
        <v>158</v>
      </c>
    </row>
    <row r="184" spans="1:4" x14ac:dyDescent="0.2">
      <c r="A184" s="5" t="s">
        <v>38</v>
      </c>
      <c r="B184" s="5" t="s">
        <v>11</v>
      </c>
      <c r="C184" s="5" t="s">
        <v>640</v>
      </c>
      <c r="D184" s="5" t="s">
        <v>158</v>
      </c>
    </row>
    <row r="185" spans="1:4" x14ac:dyDescent="0.2">
      <c r="A185" s="5" t="s">
        <v>38</v>
      </c>
      <c r="B185" s="5" t="s">
        <v>11</v>
      </c>
      <c r="C185" s="5" t="s">
        <v>642</v>
      </c>
      <c r="D185" s="5" t="s">
        <v>158</v>
      </c>
    </row>
    <row r="186" spans="1:4" x14ac:dyDescent="0.2">
      <c r="A186" s="5" t="s">
        <v>38</v>
      </c>
      <c r="B186" s="5" t="s">
        <v>11</v>
      </c>
      <c r="C186" s="5" t="s">
        <v>645</v>
      </c>
      <c r="D186" s="5" t="s">
        <v>158</v>
      </c>
    </row>
    <row r="187" spans="1:4" x14ac:dyDescent="0.2">
      <c r="A187" s="5" t="s">
        <v>38</v>
      </c>
      <c r="B187" s="5" t="s">
        <v>11</v>
      </c>
      <c r="C187" s="5" t="s">
        <v>646</v>
      </c>
      <c r="D187" s="5" t="s">
        <v>158</v>
      </c>
    </row>
    <row r="188" spans="1:4" x14ac:dyDescent="0.2">
      <c r="A188" s="5" t="s">
        <v>38</v>
      </c>
      <c r="B188" s="5" t="s">
        <v>11</v>
      </c>
      <c r="C188" s="5" t="s">
        <v>648</v>
      </c>
      <c r="D188" s="5" t="s">
        <v>158</v>
      </c>
    </row>
    <row r="189" spans="1:4" x14ac:dyDescent="0.2">
      <c r="A189" s="5" t="s">
        <v>39</v>
      </c>
      <c r="B189" s="5" t="s">
        <v>11</v>
      </c>
      <c r="C189" s="5" t="s">
        <v>649</v>
      </c>
      <c r="D189" s="5" t="s">
        <v>161</v>
      </c>
    </row>
    <row r="190" spans="1:4" x14ac:dyDescent="0.2">
      <c r="A190" s="5" t="s">
        <v>39</v>
      </c>
      <c r="B190" s="5" t="s">
        <v>11</v>
      </c>
      <c r="C190" s="5" t="s">
        <v>652</v>
      </c>
      <c r="D190" s="5" t="s">
        <v>161</v>
      </c>
    </row>
    <row r="191" spans="1:4" x14ac:dyDescent="0.2">
      <c r="A191" s="5" t="s">
        <v>39</v>
      </c>
      <c r="B191" s="5" t="s">
        <v>11</v>
      </c>
      <c r="C191" s="5" t="s">
        <v>654</v>
      </c>
      <c r="D191" s="5" t="s">
        <v>161</v>
      </c>
    </row>
    <row r="192" spans="1:4" x14ac:dyDescent="0.2">
      <c r="A192" s="5" t="s">
        <v>39</v>
      </c>
      <c r="B192" s="5" t="s">
        <v>11</v>
      </c>
      <c r="C192" s="5" t="s">
        <v>408</v>
      </c>
      <c r="D192" s="5" t="s">
        <v>161</v>
      </c>
    </row>
    <row r="193" spans="1:4" x14ac:dyDescent="0.2">
      <c r="A193" s="5" t="s">
        <v>39</v>
      </c>
      <c r="B193" s="5" t="s">
        <v>11</v>
      </c>
      <c r="C193" s="5" t="s">
        <v>655</v>
      </c>
      <c r="D193" s="5" t="s">
        <v>161</v>
      </c>
    </row>
    <row r="194" spans="1:4" x14ac:dyDescent="0.2">
      <c r="A194" s="5" t="s">
        <v>40</v>
      </c>
      <c r="B194" s="5" t="s">
        <v>11</v>
      </c>
      <c r="C194" s="5" t="s">
        <v>658</v>
      </c>
      <c r="D194" s="5" t="s">
        <v>164</v>
      </c>
    </row>
    <row r="195" spans="1:4" x14ac:dyDescent="0.2">
      <c r="A195" s="5" t="s">
        <v>40</v>
      </c>
      <c r="B195" s="5" t="s">
        <v>11</v>
      </c>
      <c r="C195" s="5" t="s">
        <v>661</v>
      </c>
      <c r="D195" s="5" t="s">
        <v>164</v>
      </c>
    </row>
    <row r="196" spans="1:4" x14ac:dyDescent="0.2">
      <c r="A196" s="5" t="s">
        <v>40</v>
      </c>
      <c r="B196" s="5" t="s">
        <v>11</v>
      </c>
      <c r="C196" s="5" t="s">
        <v>529</v>
      </c>
      <c r="D196" s="5" t="s">
        <v>164</v>
      </c>
    </row>
    <row r="197" spans="1:4" x14ac:dyDescent="0.2">
      <c r="A197" s="5" t="s">
        <v>40</v>
      </c>
      <c r="B197" s="5" t="s">
        <v>11</v>
      </c>
      <c r="C197" s="5" t="s">
        <v>663</v>
      </c>
      <c r="D197" s="5" t="s">
        <v>164</v>
      </c>
    </row>
    <row r="198" spans="1:4" x14ac:dyDescent="0.2">
      <c r="A198" s="5" t="s">
        <v>41</v>
      </c>
      <c r="B198" s="5" t="s">
        <v>11</v>
      </c>
      <c r="C198" s="5" t="s">
        <v>664</v>
      </c>
      <c r="D198" s="5" t="s">
        <v>167</v>
      </c>
    </row>
    <row r="199" spans="1:4" x14ac:dyDescent="0.2">
      <c r="A199" s="5" t="s">
        <v>41</v>
      </c>
      <c r="B199" s="5" t="s">
        <v>11</v>
      </c>
      <c r="C199" s="5" t="s">
        <v>667</v>
      </c>
      <c r="D199" s="5" t="s">
        <v>167</v>
      </c>
    </row>
    <row r="200" spans="1:4" x14ac:dyDescent="0.2">
      <c r="A200" s="5" t="s">
        <v>41</v>
      </c>
      <c r="B200" s="5" t="s">
        <v>11</v>
      </c>
      <c r="C200" s="5" t="s">
        <v>669</v>
      </c>
      <c r="D200" s="5" t="s">
        <v>167</v>
      </c>
    </row>
    <row r="201" spans="1:4" x14ac:dyDescent="0.2">
      <c r="A201" s="5" t="s">
        <v>41</v>
      </c>
      <c r="B201" s="5" t="s">
        <v>11</v>
      </c>
      <c r="C201" s="5" t="s">
        <v>671</v>
      </c>
      <c r="D201" s="5" t="s">
        <v>167</v>
      </c>
    </row>
    <row r="202" spans="1:4" x14ac:dyDescent="0.2">
      <c r="A202" s="5" t="s">
        <v>41</v>
      </c>
      <c r="B202" s="5" t="s">
        <v>11</v>
      </c>
      <c r="C202" s="5" t="s">
        <v>673</v>
      </c>
      <c r="D202" s="5" t="s">
        <v>167</v>
      </c>
    </row>
    <row r="203" spans="1:4" x14ac:dyDescent="0.2">
      <c r="A203" s="5" t="s">
        <v>42</v>
      </c>
      <c r="B203" s="5" t="s">
        <v>11</v>
      </c>
      <c r="C203" s="5" t="s">
        <v>558</v>
      </c>
      <c r="D203" s="5" t="s">
        <v>170</v>
      </c>
    </row>
    <row r="204" spans="1:4" x14ac:dyDescent="0.2">
      <c r="A204" s="5" t="s">
        <v>42</v>
      </c>
      <c r="B204" s="5" t="s">
        <v>11</v>
      </c>
      <c r="C204" s="5" t="s">
        <v>648</v>
      </c>
      <c r="D204" s="5" t="s">
        <v>170</v>
      </c>
    </row>
    <row r="205" spans="1:4" x14ac:dyDescent="0.2">
      <c r="A205" s="5" t="s">
        <v>42</v>
      </c>
      <c r="B205" s="5" t="s">
        <v>11</v>
      </c>
      <c r="C205" s="5" t="s">
        <v>348</v>
      </c>
      <c r="D205" s="5" t="s">
        <v>170</v>
      </c>
    </row>
    <row r="206" spans="1:4" x14ac:dyDescent="0.2">
      <c r="A206" s="5" t="s">
        <v>42</v>
      </c>
      <c r="B206" s="5" t="s">
        <v>11</v>
      </c>
      <c r="C206" s="5" t="s">
        <v>472</v>
      </c>
      <c r="D206" s="5" t="s">
        <v>170</v>
      </c>
    </row>
    <row r="207" spans="1:4" x14ac:dyDescent="0.2">
      <c r="A207" s="5" t="s">
        <v>42</v>
      </c>
      <c r="B207" s="5" t="s">
        <v>11</v>
      </c>
      <c r="C207" s="5" t="s">
        <v>674</v>
      </c>
      <c r="D207" s="5" t="s">
        <v>170</v>
      </c>
    </row>
    <row r="208" spans="1:4" x14ac:dyDescent="0.2">
      <c r="A208" s="5" t="s">
        <v>42</v>
      </c>
      <c r="B208" s="5" t="s">
        <v>11</v>
      </c>
      <c r="C208" s="5" t="s">
        <v>482</v>
      </c>
      <c r="D208" s="5" t="s">
        <v>170</v>
      </c>
    </row>
    <row r="209" spans="1:4" x14ac:dyDescent="0.2">
      <c r="A209" s="5" t="s">
        <v>42</v>
      </c>
      <c r="B209" s="5" t="s">
        <v>11</v>
      </c>
      <c r="C209" s="5" t="s">
        <v>676</v>
      </c>
      <c r="D209" s="5" t="s">
        <v>170</v>
      </c>
    </row>
    <row r="210" spans="1:4" x14ac:dyDescent="0.2">
      <c r="A210" s="5" t="s">
        <v>42</v>
      </c>
      <c r="B210" s="5" t="s">
        <v>11</v>
      </c>
      <c r="C210" s="5" t="s">
        <v>678</v>
      </c>
      <c r="D210" s="5" t="s">
        <v>170</v>
      </c>
    </row>
    <row r="211" spans="1:4" x14ac:dyDescent="0.2">
      <c r="A211" s="5" t="s">
        <v>42</v>
      </c>
      <c r="B211" s="5" t="s">
        <v>11</v>
      </c>
      <c r="C211" s="5" t="s">
        <v>681</v>
      </c>
      <c r="D211" s="5" t="s">
        <v>170</v>
      </c>
    </row>
    <row r="212" spans="1:4" x14ac:dyDescent="0.2">
      <c r="A212" s="5" t="s">
        <v>42</v>
      </c>
      <c r="B212" s="5" t="s">
        <v>11</v>
      </c>
      <c r="C212" s="5" t="s">
        <v>682</v>
      </c>
      <c r="D212" s="5" t="s">
        <v>170</v>
      </c>
    </row>
    <row r="213" spans="1:4" x14ac:dyDescent="0.2">
      <c r="A213" s="5" t="s">
        <v>42</v>
      </c>
      <c r="B213" s="5" t="s">
        <v>11</v>
      </c>
      <c r="C213" s="5" t="s">
        <v>683</v>
      </c>
      <c r="D213" s="5" t="s">
        <v>170</v>
      </c>
    </row>
    <row r="214" spans="1:4" x14ac:dyDescent="0.2">
      <c r="A214" s="5" t="s">
        <v>43</v>
      </c>
      <c r="B214" s="5" t="s">
        <v>11</v>
      </c>
      <c r="C214" s="5" t="s">
        <v>686</v>
      </c>
      <c r="D214" s="5" t="s">
        <v>173</v>
      </c>
    </row>
    <row r="215" spans="1:4" x14ac:dyDescent="0.2">
      <c r="A215" s="5" t="s">
        <v>43</v>
      </c>
      <c r="B215" s="5" t="s">
        <v>11</v>
      </c>
      <c r="C215" s="5" t="s">
        <v>687</v>
      </c>
      <c r="D215" s="5" t="s">
        <v>173</v>
      </c>
    </row>
    <row r="216" spans="1:4" x14ac:dyDescent="0.2">
      <c r="A216" s="5" t="s">
        <v>43</v>
      </c>
      <c r="B216" s="5" t="s">
        <v>11</v>
      </c>
      <c r="C216" s="5" t="s">
        <v>689</v>
      </c>
      <c r="D216" s="5" t="s">
        <v>173</v>
      </c>
    </row>
    <row r="217" spans="1:4" x14ac:dyDescent="0.2">
      <c r="A217" s="5" t="s">
        <v>43</v>
      </c>
      <c r="B217" s="5" t="s">
        <v>11</v>
      </c>
      <c r="C217" s="5" t="s">
        <v>690</v>
      </c>
      <c r="D217" s="5" t="s">
        <v>173</v>
      </c>
    </row>
    <row r="218" spans="1:4" x14ac:dyDescent="0.2">
      <c r="A218" s="5" t="s">
        <v>43</v>
      </c>
      <c r="B218" s="5" t="s">
        <v>11</v>
      </c>
      <c r="C218" s="5" t="s">
        <v>691</v>
      </c>
      <c r="D218" s="5" t="s">
        <v>173</v>
      </c>
    </row>
    <row r="219" spans="1:4" x14ac:dyDescent="0.2">
      <c r="A219" s="5" t="s">
        <v>43</v>
      </c>
      <c r="B219" s="5" t="s">
        <v>11</v>
      </c>
      <c r="C219" s="5" t="s">
        <v>669</v>
      </c>
      <c r="D219" s="5" t="s">
        <v>173</v>
      </c>
    </row>
    <row r="220" spans="1:4" x14ac:dyDescent="0.2">
      <c r="A220" s="5" t="s">
        <v>43</v>
      </c>
      <c r="B220" s="5" t="s">
        <v>11</v>
      </c>
      <c r="C220" s="5" t="s">
        <v>693</v>
      </c>
      <c r="D220" s="5" t="s">
        <v>173</v>
      </c>
    </row>
    <row r="221" spans="1:4" x14ac:dyDescent="0.2">
      <c r="A221" s="5" t="s">
        <v>43</v>
      </c>
      <c r="B221" s="5" t="s">
        <v>11</v>
      </c>
      <c r="C221" s="5" t="s">
        <v>695</v>
      </c>
      <c r="D221" s="5" t="s">
        <v>173</v>
      </c>
    </row>
    <row r="222" spans="1:4" x14ac:dyDescent="0.2">
      <c r="A222" s="5" t="s">
        <v>44</v>
      </c>
      <c r="B222" s="5" t="s">
        <v>11</v>
      </c>
      <c r="C222" s="5" t="s">
        <v>696</v>
      </c>
      <c r="D222" s="5" t="s">
        <v>176</v>
      </c>
    </row>
    <row r="223" spans="1:4" x14ac:dyDescent="0.2">
      <c r="A223" s="5" t="s">
        <v>44</v>
      </c>
      <c r="B223" s="5" t="s">
        <v>11</v>
      </c>
      <c r="C223" s="5" t="s">
        <v>697</v>
      </c>
      <c r="D223" s="5" t="s">
        <v>176</v>
      </c>
    </row>
    <row r="224" spans="1:4" x14ac:dyDescent="0.2">
      <c r="A224" s="5" t="s">
        <v>44</v>
      </c>
      <c r="B224" s="5" t="s">
        <v>11</v>
      </c>
      <c r="C224" s="5" t="s">
        <v>699</v>
      </c>
      <c r="D224" s="5" t="s">
        <v>176</v>
      </c>
    </row>
    <row r="225" spans="1:4" x14ac:dyDescent="0.2">
      <c r="A225" s="5" t="s">
        <v>44</v>
      </c>
      <c r="B225" s="5" t="s">
        <v>11</v>
      </c>
      <c r="C225" s="5" t="s">
        <v>700</v>
      </c>
      <c r="D225" s="5" t="s">
        <v>176</v>
      </c>
    </row>
    <row r="226" spans="1:4" x14ac:dyDescent="0.2">
      <c r="A226" s="5" t="s">
        <v>44</v>
      </c>
      <c r="B226" s="5" t="s">
        <v>11</v>
      </c>
      <c r="C226" s="5" t="s">
        <v>702</v>
      </c>
      <c r="D226" s="5" t="s">
        <v>176</v>
      </c>
    </row>
    <row r="227" spans="1:4" x14ac:dyDescent="0.2">
      <c r="A227" s="5" t="s">
        <v>45</v>
      </c>
      <c r="B227" s="5" t="s">
        <v>17</v>
      </c>
      <c r="C227" s="5" t="s">
        <v>704</v>
      </c>
      <c r="D227" s="5" t="s">
        <v>179</v>
      </c>
    </row>
    <row r="228" spans="1:4" x14ac:dyDescent="0.2">
      <c r="A228" s="5" t="s">
        <v>45</v>
      </c>
      <c r="B228" s="5" t="s">
        <v>17</v>
      </c>
      <c r="C228" s="5" t="s">
        <v>706</v>
      </c>
      <c r="D228" s="5" t="s">
        <v>179</v>
      </c>
    </row>
    <row r="229" spans="1:4" x14ac:dyDescent="0.2">
      <c r="A229" s="5" t="s">
        <v>45</v>
      </c>
      <c r="B229" s="5" t="s">
        <v>17</v>
      </c>
      <c r="C229" s="5" t="s">
        <v>708</v>
      </c>
      <c r="D229" s="5" t="s">
        <v>179</v>
      </c>
    </row>
    <row r="230" spans="1:4" x14ac:dyDescent="0.2">
      <c r="A230" s="5" t="s">
        <v>45</v>
      </c>
      <c r="B230" s="5" t="s">
        <v>17</v>
      </c>
      <c r="C230" s="5" t="s">
        <v>710</v>
      </c>
      <c r="D230" s="5" t="s">
        <v>179</v>
      </c>
    </row>
    <row r="231" spans="1:4" x14ac:dyDescent="0.2">
      <c r="A231" s="5" t="s">
        <v>45</v>
      </c>
      <c r="B231" s="5" t="s">
        <v>17</v>
      </c>
      <c r="C231" s="5" t="s">
        <v>712</v>
      </c>
      <c r="D231" s="5" t="s">
        <v>179</v>
      </c>
    </row>
    <row r="232" spans="1:4" x14ac:dyDescent="0.2">
      <c r="A232" s="5" t="s">
        <v>45</v>
      </c>
      <c r="B232" s="5" t="s">
        <v>17</v>
      </c>
      <c r="C232" s="5" t="s">
        <v>714</v>
      </c>
      <c r="D232" s="5" t="s">
        <v>179</v>
      </c>
    </row>
    <row r="233" spans="1:4" x14ac:dyDescent="0.2">
      <c r="A233" s="5" t="s">
        <v>45</v>
      </c>
      <c r="B233" s="5" t="s">
        <v>17</v>
      </c>
      <c r="C233" s="5" t="s">
        <v>716</v>
      </c>
      <c r="D233" s="5" t="s">
        <v>179</v>
      </c>
    </row>
    <row r="234" spans="1:4" x14ac:dyDescent="0.2">
      <c r="A234" s="5" t="s">
        <v>45</v>
      </c>
      <c r="B234" s="5" t="s">
        <v>17</v>
      </c>
      <c r="C234" s="5" t="s">
        <v>718</v>
      </c>
      <c r="D234" s="5" t="s">
        <v>179</v>
      </c>
    </row>
    <row r="235" spans="1:4" x14ac:dyDescent="0.2">
      <c r="A235" s="5" t="s">
        <v>45</v>
      </c>
      <c r="B235" s="5" t="s">
        <v>17</v>
      </c>
      <c r="C235" s="5" t="s">
        <v>719</v>
      </c>
      <c r="D235" s="5" t="s">
        <v>179</v>
      </c>
    </row>
    <row r="236" spans="1:4" x14ac:dyDescent="0.2">
      <c r="A236" s="5" t="s">
        <v>45</v>
      </c>
      <c r="B236" s="5" t="s">
        <v>17</v>
      </c>
      <c r="C236" s="5" t="s">
        <v>720</v>
      </c>
      <c r="D236" s="5" t="s">
        <v>179</v>
      </c>
    </row>
    <row r="237" spans="1:4" x14ac:dyDescent="0.2">
      <c r="A237" s="5" t="s">
        <v>45</v>
      </c>
      <c r="B237" s="5" t="s">
        <v>17</v>
      </c>
      <c r="C237" s="5" t="s">
        <v>722</v>
      </c>
      <c r="D237" s="5" t="s">
        <v>179</v>
      </c>
    </row>
    <row r="238" spans="1:4" x14ac:dyDescent="0.2">
      <c r="A238" s="5" t="s">
        <v>45</v>
      </c>
      <c r="B238" s="5" t="s">
        <v>17</v>
      </c>
      <c r="C238" s="5" t="s">
        <v>723</v>
      </c>
      <c r="D238" s="5" t="s">
        <v>179</v>
      </c>
    </row>
    <row r="239" spans="1:4" x14ac:dyDescent="0.2">
      <c r="A239" s="5" t="s">
        <v>45</v>
      </c>
      <c r="B239" s="5" t="s">
        <v>17</v>
      </c>
      <c r="C239" s="5" t="s">
        <v>724</v>
      </c>
      <c r="D239" s="5" t="s">
        <v>179</v>
      </c>
    </row>
    <row r="240" spans="1:4" x14ac:dyDescent="0.2">
      <c r="A240" s="5" t="s">
        <v>45</v>
      </c>
      <c r="B240" s="5" t="s">
        <v>17</v>
      </c>
      <c r="C240" s="5" t="s">
        <v>726</v>
      </c>
      <c r="D240" s="5" t="s">
        <v>179</v>
      </c>
    </row>
    <row r="241" spans="1:4" x14ac:dyDescent="0.2">
      <c r="A241" s="5" t="s">
        <v>46</v>
      </c>
      <c r="B241" s="5" t="s">
        <v>22</v>
      </c>
      <c r="C241" s="5" t="s">
        <v>727</v>
      </c>
      <c r="D241" s="5" t="s">
        <v>182</v>
      </c>
    </row>
    <row r="242" spans="1:4" x14ac:dyDescent="0.2">
      <c r="A242" s="5" t="s">
        <v>46</v>
      </c>
      <c r="B242" s="5" t="s">
        <v>22</v>
      </c>
      <c r="C242" s="5" t="s">
        <v>729</v>
      </c>
      <c r="D242" s="5" t="s">
        <v>182</v>
      </c>
    </row>
    <row r="243" spans="1:4" x14ac:dyDescent="0.2">
      <c r="A243" s="5" t="s">
        <v>46</v>
      </c>
      <c r="B243" s="5" t="s">
        <v>22</v>
      </c>
      <c r="C243" s="5" t="s">
        <v>730</v>
      </c>
      <c r="D243" s="5" t="s">
        <v>182</v>
      </c>
    </row>
    <row r="244" spans="1:4" x14ac:dyDescent="0.2">
      <c r="A244" s="5" t="s">
        <v>47</v>
      </c>
      <c r="B244" s="5" t="s">
        <v>48</v>
      </c>
      <c r="C244" s="5" t="s">
        <v>732</v>
      </c>
      <c r="D244" s="5" t="s">
        <v>185</v>
      </c>
    </row>
    <row r="245" spans="1:4" x14ac:dyDescent="0.2">
      <c r="A245" s="5" t="s">
        <v>47</v>
      </c>
      <c r="B245" s="5" t="s">
        <v>48</v>
      </c>
      <c r="C245" s="5" t="s">
        <v>735</v>
      </c>
      <c r="D245" s="5" t="s">
        <v>185</v>
      </c>
    </row>
    <row r="246" spans="1:4" x14ac:dyDescent="0.2">
      <c r="A246" s="5" t="s">
        <v>47</v>
      </c>
      <c r="B246" s="5" t="s">
        <v>48</v>
      </c>
      <c r="C246" s="5" t="s">
        <v>736</v>
      </c>
      <c r="D246" s="5" t="s">
        <v>185</v>
      </c>
    </row>
    <row r="247" spans="1:4" x14ac:dyDescent="0.2">
      <c r="A247" s="5" t="s">
        <v>47</v>
      </c>
      <c r="B247" s="5" t="s">
        <v>48</v>
      </c>
      <c r="C247" s="5" t="s">
        <v>738</v>
      </c>
      <c r="D247" s="5" t="s">
        <v>185</v>
      </c>
    </row>
    <row r="248" spans="1:4" x14ac:dyDescent="0.2">
      <c r="A248" s="5" t="s">
        <v>47</v>
      </c>
      <c r="B248" s="5" t="s">
        <v>48</v>
      </c>
      <c r="C248" s="5" t="s">
        <v>740</v>
      </c>
      <c r="D248" s="5" t="s">
        <v>185</v>
      </c>
    </row>
    <row r="249" spans="1:4" x14ac:dyDescent="0.2">
      <c r="A249" s="5" t="s">
        <v>49</v>
      </c>
      <c r="B249" s="5" t="s">
        <v>50</v>
      </c>
      <c r="C249" s="5" t="s">
        <v>742</v>
      </c>
      <c r="D249" s="5" t="s">
        <v>188</v>
      </c>
    </row>
    <row r="250" spans="1:4" x14ac:dyDescent="0.2">
      <c r="A250" s="5" t="s">
        <v>49</v>
      </c>
      <c r="B250" s="5" t="s">
        <v>50</v>
      </c>
      <c r="C250" s="5" t="s">
        <v>743</v>
      </c>
      <c r="D250" s="5" t="s">
        <v>188</v>
      </c>
    </row>
    <row r="251" spans="1:4" x14ac:dyDescent="0.2">
      <c r="A251" s="5" t="s">
        <v>49</v>
      </c>
      <c r="B251" s="5" t="s">
        <v>50</v>
      </c>
      <c r="C251" s="5" t="s">
        <v>745</v>
      </c>
      <c r="D251" s="5" t="s">
        <v>188</v>
      </c>
    </row>
    <row r="252" spans="1:4" x14ac:dyDescent="0.2">
      <c r="A252" s="5" t="s">
        <v>49</v>
      </c>
      <c r="B252" s="5" t="s">
        <v>50</v>
      </c>
      <c r="C252" s="5" t="s">
        <v>746</v>
      </c>
      <c r="D252" s="5" t="s">
        <v>188</v>
      </c>
    </row>
    <row r="253" spans="1:4" x14ac:dyDescent="0.2">
      <c r="A253" s="5" t="s">
        <v>49</v>
      </c>
      <c r="B253" s="5" t="s">
        <v>50</v>
      </c>
      <c r="C253" s="5" t="s">
        <v>748</v>
      </c>
      <c r="D253" s="5" t="s">
        <v>188</v>
      </c>
    </row>
    <row r="254" spans="1:4" x14ac:dyDescent="0.2">
      <c r="A254" s="5" t="s">
        <v>49</v>
      </c>
      <c r="B254" s="5" t="s">
        <v>50</v>
      </c>
      <c r="C254" s="5" t="s">
        <v>750</v>
      </c>
      <c r="D254" s="5" t="s">
        <v>188</v>
      </c>
    </row>
    <row r="255" spans="1:4" x14ac:dyDescent="0.2">
      <c r="A255" s="5" t="s">
        <v>49</v>
      </c>
      <c r="B255" s="5" t="s">
        <v>50</v>
      </c>
      <c r="C255" s="5" t="s">
        <v>340</v>
      </c>
      <c r="D255" s="5" t="s">
        <v>188</v>
      </c>
    </row>
    <row r="256" spans="1:4" x14ac:dyDescent="0.2">
      <c r="A256" s="5" t="s">
        <v>49</v>
      </c>
      <c r="B256" s="5" t="s">
        <v>50</v>
      </c>
      <c r="C256" s="5" t="s">
        <v>751</v>
      </c>
      <c r="D256" s="5" t="s">
        <v>188</v>
      </c>
    </row>
    <row r="257" spans="1:4" x14ac:dyDescent="0.2">
      <c r="A257" s="5" t="s">
        <v>49</v>
      </c>
      <c r="B257" s="5" t="s">
        <v>50</v>
      </c>
      <c r="C257" s="5" t="s">
        <v>393</v>
      </c>
      <c r="D257" s="5" t="s">
        <v>188</v>
      </c>
    </row>
    <row r="258" spans="1:4" x14ac:dyDescent="0.2">
      <c r="A258" s="5" t="s">
        <v>49</v>
      </c>
      <c r="B258" s="5" t="s">
        <v>50</v>
      </c>
      <c r="C258" s="5" t="s">
        <v>753</v>
      </c>
      <c r="D258" s="5" t="s">
        <v>188</v>
      </c>
    </row>
    <row r="259" spans="1:4" x14ac:dyDescent="0.2">
      <c r="A259" s="5" t="s">
        <v>51</v>
      </c>
      <c r="B259" s="5" t="s">
        <v>14</v>
      </c>
      <c r="C259" s="5" t="s">
        <v>755</v>
      </c>
      <c r="D259" s="5" t="s">
        <v>191</v>
      </c>
    </row>
    <row r="260" spans="1:4" x14ac:dyDescent="0.2">
      <c r="A260" s="5" t="s">
        <v>51</v>
      </c>
      <c r="B260" s="5" t="s">
        <v>14</v>
      </c>
      <c r="C260" s="5" t="s">
        <v>334</v>
      </c>
      <c r="D260" s="5" t="s">
        <v>191</v>
      </c>
    </row>
    <row r="261" spans="1:4" x14ac:dyDescent="0.2">
      <c r="A261" s="5" t="s">
        <v>51</v>
      </c>
      <c r="B261" s="5" t="s">
        <v>14</v>
      </c>
      <c r="C261" s="5" t="s">
        <v>422</v>
      </c>
      <c r="D261" s="5" t="s">
        <v>191</v>
      </c>
    </row>
    <row r="262" spans="1:4" x14ac:dyDescent="0.2">
      <c r="A262" s="5" t="s">
        <v>51</v>
      </c>
      <c r="B262" s="5" t="s">
        <v>14</v>
      </c>
      <c r="C262" s="5" t="s">
        <v>758</v>
      </c>
      <c r="D262" s="5" t="s">
        <v>191</v>
      </c>
    </row>
    <row r="263" spans="1:4" x14ac:dyDescent="0.2">
      <c r="A263" s="5" t="s">
        <v>51</v>
      </c>
      <c r="B263" s="5" t="s">
        <v>14</v>
      </c>
      <c r="C263" s="5" t="s">
        <v>759</v>
      </c>
      <c r="D263" s="5" t="s">
        <v>191</v>
      </c>
    </row>
    <row r="264" spans="1:4" x14ac:dyDescent="0.2">
      <c r="A264" s="5" t="s">
        <v>52</v>
      </c>
      <c r="B264" s="5" t="s">
        <v>14</v>
      </c>
      <c r="C264" s="5" t="s">
        <v>762</v>
      </c>
      <c r="D264" s="5" t="s">
        <v>194</v>
      </c>
    </row>
    <row r="265" spans="1:4" x14ac:dyDescent="0.2">
      <c r="A265" s="5" t="s">
        <v>52</v>
      </c>
      <c r="B265" s="5" t="s">
        <v>14</v>
      </c>
      <c r="C265" s="5" t="s">
        <v>764</v>
      </c>
      <c r="D265" s="5" t="s">
        <v>194</v>
      </c>
    </row>
    <row r="266" spans="1:4" x14ac:dyDescent="0.2">
      <c r="A266" s="5" t="s">
        <v>52</v>
      </c>
      <c r="B266" s="5" t="s">
        <v>14</v>
      </c>
      <c r="C266" s="5" t="s">
        <v>491</v>
      </c>
      <c r="D266" s="5" t="s">
        <v>194</v>
      </c>
    </row>
    <row r="267" spans="1:4" x14ac:dyDescent="0.2">
      <c r="A267" s="5" t="s">
        <v>52</v>
      </c>
      <c r="B267" s="5" t="s">
        <v>14</v>
      </c>
      <c r="C267" s="5" t="s">
        <v>494</v>
      </c>
      <c r="D267" s="5" t="s">
        <v>194</v>
      </c>
    </row>
    <row r="268" spans="1:4" x14ac:dyDescent="0.2">
      <c r="A268" s="5" t="s">
        <v>52</v>
      </c>
      <c r="B268" s="5" t="s">
        <v>14</v>
      </c>
      <c r="C268" s="5" t="s">
        <v>393</v>
      </c>
      <c r="D268" s="5" t="s">
        <v>194</v>
      </c>
    </row>
    <row r="269" spans="1:4" x14ac:dyDescent="0.2">
      <c r="A269" s="5" t="s">
        <v>53</v>
      </c>
      <c r="B269" s="5" t="s">
        <v>54</v>
      </c>
      <c r="C269" s="5" t="s">
        <v>768</v>
      </c>
      <c r="D269" s="5" t="s">
        <v>197</v>
      </c>
    </row>
    <row r="270" spans="1:4" x14ac:dyDescent="0.2">
      <c r="A270" s="5" t="s">
        <v>53</v>
      </c>
      <c r="B270" s="5" t="s">
        <v>54</v>
      </c>
      <c r="C270" s="5" t="s">
        <v>771</v>
      </c>
      <c r="D270" s="5" t="s">
        <v>197</v>
      </c>
    </row>
    <row r="271" spans="1:4" x14ac:dyDescent="0.2">
      <c r="A271" s="5" t="s">
        <v>53</v>
      </c>
      <c r="B271" s="5" t="s">
        <v>54</v>
      </c>
      <c r="C271" s="5" t="s">
        <v>773</v>
      </c>
      <c r="D271" s="5" t="s">
        <v>197</v>
      </c>
    </row>
    <row r="272" spans="1:4" x14ac:dyDescent="0.2">
      <c r="A272" s="5" t="s">
        <v>53</v>
      </c>
      <c r="B272" s="5" t="s">
        <v>54</v>
      </c>
      <c r="C272" s="5" t="s">
        <v>775</v>
      </c>
      <c r="D272" s="5" t="s">
        <v>197</v>
      </c>
    </row>
    <row r="273" spans="1:4" x14ac:dyDescent="0.2">
      <c r="A273" s="5" t="s">
        <v>53</v>
      </c>
      <c r="B273" s="5" t="s">
        <v>54</v>
      </c>
      <c r="C273" s="5" t="s">
        <v>777</v>
      </c>
      <c r="D273" s="5" t="s">
        <v>197</v>
      </c>
    </row>
    <row r="274" spans="1:4" x14ac:dyDescent="0.2">
      <c r="A274" s="5" t="s">
        <v>53</v>
      </c>
      <c r="B274" s="5" t="s">
        <v>54</v>
      </c>
      <c r="C274" s="5" t="s">
        <v>779</v>
      </c>
      <c r="D274" s="5" t="s">
        <v>197</v>
      </c>
    </row>
    <row r="275" spans="1:4" x14ac:dyDescent="0.2">
      <c r="A275" s="5" t="s">
        <v>53</v>
      </c>
      <c r="B275" s="5" t="s">
        <v>54</v>
      </c>
      <c r="C275" s="5" t="s">
        <v>781</v>
      </c>
      <c r="D275" s="5" t="s">
        <v>197</v>
      </c>
    </row>
    <row r="276" spans="1:4" x14ac:dyDescent="0.2">
      <c r="A276" s="5" t="s">
        <v>53</v>
      </c>
      <c r="B276" s="5" t="s">
        <v>54</v>
      </c>
      <c r="C276" s="5" t="s">
        <v>782</v>
      </c>
      <c r="D276" s="5" t="s">
        <v>197</v>
      </c>
    </row>
    <row r="277" spans="1:4" x14ac:dyDescent="0.2">
      <c r="A277" s="5" t="s">
        <v>53</v>
      </c>
      <c r="B277" s="5" t="s">
        <v>54</v>
      </c>
      <c r="C277" s="5" t="s">
        <v>783</v>
      </c>
      <c r="D277" s="5" t="s">
        <v>197</v>
      </c>
    </row>
    <row r="278" spans="1:4" x14ac:dyDescent="0.2">
      <c r="A278" s="5" t="s">
        <v>53</v>
      </c>
      <c r="B278" s="5" t="s">
        <v>54</v>
      </c>
      <c r="C278" s="5" t="s">
        <v>345</v>
      </c>
      <c r="D278" s="5" t="s">
        <v>197</v>
      </c>
    </row>
    <row r="279" spans="1:4" x14ac:dyDescent="0.2">
      <c r="A279" s="5" t="s">
        <v>55</v>
      </c>
      <c r="B279" s="5" t="s">
        <v>48</v>
      </c>
      <c r="C279" s="5" t="s">
        <v>784</v>
      </c>
      <c r="D279" s="5" t="s">
        <v>200</v>
      </c>
    </row>
    <row r="280" spans="1:4" x14ac:dyDescent="0.2">
      <c r="A280" s="5" t="s">
        <v>55</v>
      </c>
      <c r="B280" s="5" t="s">
        <v>48</v>
      </c>
      <c r="C280" s="5" t="s">
        <v>787</v>
      </c>
      <c r="D280" s="5" t="s">
        <v>200</v>
      </c>
    </row>
    <row r="281" spans="1:4" x14ac:dyDescent="0.2">
      <c r="A281" s="5" t="s">
        <v>55</v>
      </c>
      <c r="B281" s="5" t="s">
        <v>48</v>
      </c>
      <c r="C281" s="5" t="s">
        <v>788</v>
      </c>
      <c r="D281" s="5" t="s">
        <v>200</v>
      </c>
    </row>
    <row r="282" spans="1:4" x14ac:dyDescent="0.2">
      <c r="A282" s="5" t="s">
        <v>55</v>
      </c>
      <c r="B282" s="5" t="s">
        <v>48</v>
      </c>
      <c r="C282" s="5" t="s">
        <v>789</v>
      </c>
      <c r="D282" s="5" t="s">
        <v>200</v>
      </c>
    </row>
    <row r="283" spans="1:4" x14ac:dyDescent="0.2">
      <c r="A283" s="5" t="s">
        <v>55</v>
      </c>
      <c r="B283" s="5" t="s">
        <v>48</v>
      </c>
      <c r="C283" s="5" t="s">
        <v>790</v>
      </c>
      <c r="D283" s="5" t="s">
        <v>200</v>
      </c>
    </row>
    <row r="284" spans="1:4" x14ac:dyDescent="0.2">
      <c r="A284" s="5" t="s">
        <v>55</v>
      </c>
      <c r="B284" s="5" t="s">
        <v>48</v>
      </c>
      <c r="C284" s="5" t="s">
        <v>487</v>
      </c>
      <c r="D284" s="5" t="s">
        <v>200</v>
      </c>
    </row>
    <row r="285" spans="1:4" x14ac:dyDescent="0.2">
      <c r="A285" s="5" t="s">
        <v>55</v>
      </c>
      <c r="B285" s="5" t="s">
        <v>48</v>
      </c>
      <c r="C285" s="5" t="s">
        <v>792</v>
      </c>
      <c r="D285" s="5" t="s">
        <v>200</v>
      </c>
    </row>
    <row r="286" spans="1:4" x14ac:dyDescent="0.2">
      <c r="A286" s="5" t="s">
        <v>55</v>
      </c>
      <c r="B286" s="5" t="s">
        <v>48</v>
      </c>
      <c r="C286" s="5" t="s">
        <v>793</v>
      </c>
      <c r="D286" s="5" t="s">
        <v>200</v>
      </c>
    </row>
    <row r="287" spans="1:4" x14ac:dyDescent="0.2">
      <c r="A287" s="5" t="s">
        <v>55</v>
      </c>
      <c r="B287" s="5" t="s">
        <v>48</v>
      </c>
      <c r="C287" s="5" t="s">
        <v>796</v>
      </c>
      <c r="D287" s="5" t="s">
        <v>200</v>
      </c>
    </row>
    <row r="288" spans="1:4" x14ac:dyDescent="0.2">
      <c r="A288" s="5" t="s">
        <v>55</v>
      </c>
      <c r="B288" s="5" t="s">
        <v>48</v>
      </c>
      <c r="C288" s="5" t="s">
        <v>797</v>
      </c>
      <c r="D288" s="5" t="s">
        <v>200</v>
      </c>
    </row>
    <row r="289" spans="1:4" x14ac:dyDescent="0.2">
      <c r="A289" s="5" t="s">
        <v>55</v>
      </c>
      <c r="B289" s="5" t="s">
        <v>48</v>
      </c>
      <c r="C289" s="5" t="s">
        <v>339</v>
      </c>
      <c r="D289" s="5" t="s">
        <v>200</v>
      </c>
    </row>
    <row r="290" spans="1:4" x14ac:dyDescent="0.2">
      <c r="A290" s="5" t="s">
        <v>55</v>
      </c>
      <c r="B290" s="5" t="s">
        <v>48</v>
      </c>
      <c r="C290" s="5" t="s">
        <v>726</v>
      </c>
      <c r="D290" s="5" t="s">
        <v>200</v>
      </c>
    </row>
    <row r="291" spans="1:4" x14ac:dyDescent="0.2">
      <c r="A291" s="5" t="s">
        <v>55</v>
      </c>
      <c r="B291" s="5" t="s">
        <v>48</v>
      </c>
      <c r="C291" s="5" t="s">
        <v>798</v>
      </c>
      <c r="D291" s="5" t="s">
        <v>200</v>
      </c>
    </row>
    <row r="292" spans="1:4" x14ac:dyDescent="0.2">
      <c r="A292" s="5" t="s">
        <v>56</v>
      </c>
      <c r="B292" s="5" t="s">
        <v>50</v>
      </c>
      <c r="C292" s="5" t="s">
        <v>800</v>
      </c>
      <c r="D292" s="5" t="s">
        <v>203</v>
      </c>
    </row>
    <row r="293" spans="1:4" x14ac:dyDescent="0.2">
      <c r="A293" s="5" t="s">
        <v>56</v>
      </c>
      <c r="B293" s="5" t="s">
        <v>50</v>
      </c>
      <c r="C293" s="5" t="s">
        <v>801</v>
      </c>
      <c r="D293" s="5" t="s">
        <v>203</v>
      </c>
    </row>
    <row r="294" spans="1:4" x14ac:dyDescent="0.2">
      <c r="A294" s="5" t="s">
        <v>56</v>
      </c>
      <c r="B294" s="5" t="s">
        <v>50</v>
      </c>
      <c r="C294" s="5" t="s">
        <v>802</v>
      </c>
      <c r="D294" s="5" t="s">
        <v>203</v>
      </c>
    </row>
    <row r="295" spans="1:4" x14ac:dyDescent="0.2">
      <c r="A295" s="5" t="s">
        <v>56</v>
      </c>
      <c r="B295" s="5" t="s">
        <v>50</v>
      </c>
      <c r="C295" s="5" t="s">
        <v>804</v>
      </c>
      <c r="D295" s="5" t="s">
        <v>203</v>
      </c>
    </row>
    <row r="296" spans="1:4" x14ac:dyDescent="0.2">
      <c r="A296" s="5" t="s">
        <v>56</v>
      </c>
      <c r="B296" s="5" t="s">
        <v>50</v>
      </c>
      <c r="C296" s="5" t="s">
        <v>805</v>
      </c>
      <c r="D296" s="5" t="s">
        <v>203</v>
      </c>
    </row>
    <row r="297" spans="1:4" x14ac:dyDescent="0.2">
      <c r="A297" s="5" t="s">
        <v>56</v>
      </c>
      <c r="B297" s="5" t="s">
        <v>50</v>
      </c>
      <c r="C297" s="5" t="s">
        <v>806</v>
      </c>
      <c r="D297" s="5" t="s">
        <v>203</v>
      </c>
    </row>
    <row r="298" spans="1:4" x14ac:dyDescent="0.2">
      <c r="A298" s="5" t="s">
        <v>56</v>
      </c>
      <c r="B298" s="5" t="s">
        <v>50</v>
      </c>
      <c r="C298" s="5" t="s">
        <v>808</v>
      </c>
      <c r="D298" s="5" t="s">
        <v>203</v>
      </c>
    </row>
    <row r="299" spans="1:4" x14ac:dyDescent="0.2">
      <c r="A299" s="5" t="s">
        <v>56</v>
      </c>
      <c r="B299" s="5" t="s">
        <v>50</v>
      </c>
      <c r="C299" s="5" t="s">
        <v>758</v>
      </c>
      <c r="D299" s="5" t="s">
        <v>203</v>
      </c>
    </row>
    <row r="300" spans="1:4" x14ac:dyDescent="0.2">
      <c r="A300" s="5" t="s">
        <v>56</v>
      </c>
      <c r="B300" s="5" t="s">
        <v>50</v>
      </c>
      <c r="C300" s="5" t="s">
        <v>809</v>
      </c>
      <c r="D300" s="5" t="s">
        <v>203</v>
      </c>
    </row>
    <row r="301" spans="1:4" x14ac:dyDescent="0.2">
      <c r="A301" s="5" t="s">
        <v>56</v>
      </c>
      <c r="B301" s="5" t="s">
        <v>50</v>
      </c>
      <c r="C301" s="5" t="s">
        <v>810</v>
      </c>
      <c r="D301" s="5" t="s">
        <v>203</v>
      </c>
    </row>
    <row r="302" spans="1:4" x14ac:dyDescent="0.2">
      <c r="A302" s="5" t="s">
        <v>56</v>
      </c>
      <c r="B302" s="5" t="s">
        <v>50</v>
      </c>
      <c r="C302" s="5" t="s">
        <v>812</v>
      </c>
      <c r="D302" s="5" t="s">
        <v>203</v>
      </c>
    </row>
    <row r="303" spans="1:4" x14ac:dyDescent="0.2">
      <c r="A303" s="5" t="s">
        <v>57</v>
      </c>
      <c r="B303" s="5" t="s">
        <v>11</v>
      </c>
      <c r="C303" s="5" t="s">
        <v>470</v>
      </c>
      <c r="D303" s="5" t="s">
        <v>206</v>
      </c>
    </row>
    <row r="304" spans="1:4" x14ac:dyDescent="0.2">
      <c r="A304" s="5" t="s">
        <v>57</v>
      </c>
      <c r="B304" s="5" t="s">
        <v>11</v>
      </c>
      <c r="C304" s="5" t="s">
        <v>813</v>
      </c>
      <c r="D304" s="5" t="s">
        <v>206</v>
      </c>
    </row>
    <row r="305" spans="1:4" x14ac:dyDescent="0.2">
      <c r="A305" s="5" t="s">
        <v>57</v>
      </c>
      <c r="B305" s="5" t="s">
        <v>11</v>
      </c>
      <c r="C305" s="5" t="s">
        <v>426</v>
      </c>
      <c r="D305" s="5" t="s">
        <v>206</v>
      </c>
    </row>
    <row r="306" spans="1:4" x14ac:dyDescent="0.2">
      <c r="A306" s="5" t="s">
        <v>57</v>
      </c>
      <c r="B306" s="5" t="s">
        <v>11</v>
      </c>
      <c r="C306" s="5" t="s">
        <v>814</v>
      </c>
      <c r="D306" s="5" t="s">
        <v>206</v>
      </c>
    </row>
    <row r="307" spans="1:4" x14ac:dyDescent="0.2">
      <c r="A307" s="5" t="s">
        <v>57</v>
      </c>
      <c r="B307" s="5" t="s">
        <v>11</v>
      </c>
      <c r="C307" s="5" t="s">
        <v>815</v>
      </c>
      <c r="D307" s="5" t="s">
        <v>206</v>
      </c>
    </row>
    <row r="308" spans="1:4" x14ac:dyDescent="0.2">
      <c r="A308" s="5" t="s">
        <v>57</v>
      </c>
      <c r="B308" s="5" t="s">
        <v>11</v>
      </c>
      <c r="C308" s="5" t="s">
        <v>816</v>
      </c>
      <c r="D308" s="5" t="s">
        <v>206</v>
      </c>
    </row>
    <row r="309" spans="1:4" x14ac:dyDescent="0.2">
      <c r="A309" s="5" t="s">
        <v>57</v>
      </c>
      <c r="B309" s="5" t="s">
        <v>11</v>
      </c>
      <c r="C309" s="5" t="s">
        <v>819</v>
      </c>
      <c r="D309" s="5" t="s">
        <v>206</v>
      </c>
    </row>
    <row r="310" spans="1:4" x14ac:dyDescent="0.2">
      <c r="A310" s="5" t="s">
        <v>57</v>
      </c>
      <c r="B310" s="5" t="s">
        <v>11</v>
      </c>
      <c r="C310" s="5" t="s">
        <v>821</v>
      </c>
      <c r="D310" s="5" t="s">
        <v>206</v>
      </c>
    </row>
    <row r="311" spans="1:4" x14ac:dyDescent="0.2">
      <c r="A311" s="5" t="s">
        <v>57</v>
      </c>
      <c r="B311" s="5" t="s">
        <v>11</v>
      </c>
      <c r="C311" s="5" t="s">
        <v>823</v>
      </c>
      <c r="D311" s="5" t="s">
        <v>206</v>
      </c>
    </row>
    <row r="312" spans="1:4" x14ac:dyDescent="0.2">
      <c r="A312" s="5" t="s">
        <v>57</v>
      </c>
      <c r="B312" s="5" t="s">
        <v>11</v>
      </c>
      <c r="C312" s="5" t="s">
        <v>824</v>
      </c>
      <c r="D312" s="5" t="s">
        <v>206</v>
      </c>
    </row>
    <row r="313" spans="1:4" x14ac:dyDescent="0.2">
      <c r="A313" s="5" t="s">
        <v>57</v>
      </c>
      <c r="B313" s="5" t="s">
        <v>11</v>
      </c>
      <c r="C313" s="5" t="s">
        <v>826</v>
      </c>
      <c r="D313" s="5" t="s">
        <v>206</v>
      </c>
    </row>
    <row r="314" spans="1:4" x14ac:dyDescent="0.2">
      <c r="A314" s="5" t="s">
        <v>57</v>
      </c>
      <c r="B314" s="5" t="s">
        <v>11</v>
      </c>
      <c r="C314" s="5" t="s">
        <v>828</v>
      </c>
      <c r="D314" s="5" t="s">
        <v>206</v>
      </c>
    </row>
    <row r="315" spans="1:4" x14ac:dyDescent="0.2">
      <c r="A315" s="5" t="s">
        <v>57</v>
      </c>
      <c r="B315" s="5" t="s">
        <v>11</v>
      </c>
      <c r="C315" s="5" t="s">
        <v>830</v>
      </c>
      <c r="D315" s="5" t="s">
        <v>206</v>
      </c>
    </row>
    <row r="316" spans="1:4" x14ac:dyDescent="0.2">
      <c r="A316" s="5" t="s">
        <v>57</v>
      </c>
      <c r="B316" s="5" t="s">
        <v>11</v>
      </c>
      <c r="C316" s="5" t="s">
        <v>831</v>
      </c>
      <c r="D316" s="5" t="s">
        <v>206</v>
      </c>
    </row>
    <row r="317" spans="1:4" x14ac:dyDescent="0.2">
      <c r="A317" s="5" t="s">
        <v>57</v>
      </c>
      <c r="B317" s="5" t="s">
        <v>11</v>
      </c>
      <c r="C317" s="5" t="s">
        <v>832</v>
      </c>
      <c r="D317" s="5" t="s">
        <v>206</v>
      </c>
    </row>
    <row r="318" spans="1:4" x14ac:dyDescent="0.2">
      <c r="A318" s="5" t="s">
        <v>58</v>
      </c>
      <c r="B318" s="5" t="s">
        <v>11</v>
      </c>
      <c r="C318" s="5" t="s">
        <v>838</v>
      </c>
      <c r="D318" s="5" t="s">
        <v>209</v>
      </c>
    </row>
    <row r="319" spans="1:4" x14ac:dyDescent="0.2">
      <c r="A319" s="5" t="s">
        <v>58</v>
      </c>
      <c r="B319" s="5" t="s">
        <v>11</v>
      </c>
      <c r="C319" s="5" t="s">
        <v>840</v>
      </c>
      <c r="D319" s="5" t="s">
        <v>209</v>
      </c>
    </row>
    <row r="320" spans="1:4" x14ac:dyDescent="0.2">
      <c r="A320" s="5" t="s">
        <v>58</v>
      </c>
      <c r="B320" s="5" t="s">
        <v>11</v>
      </c>
      <c r="C320" s="5" t="s">
        <v>841</v>
      </c>
      <c r="D320" s="5" t="s">
        <v>209</v>
      </c>
    </row>
    <row r="321" spans="1:4" x14ac:dyDescent="0.2">
      <c r="A321" s="5" t="s">
        <v>58</v>
      </c>
      <c r="B321" s="5" t="s">
        <v>11</v>
      </c>
      <c r="C321" s="5" t="s">
        <v>842</v>
      </c>
      <c r="D321" s="5" t="s">
        <v>209</v>
      </c>
    </row>
    <row r="322" spans="1:4" x14ac:dyDescent="0.2">
      <c r="A322" s="5" t="s">
        <v>58</v>
      </c>
      <c r="B322" s="5" t="s">
        <v>11</v>
      </c>
      <c r="C322" s="5" t="s">
        <v>845</v>
      </c>
      <c r="D322" s="5" t="s">
        <v>209</v>
      </c>
    </row>
    <row r="323" spans="1:4" x14ac:dyDescent="0.2">
      <c r="A323" s="5" t="s">
        <v>58</v>
      </c>
      <c r="B323" s="5" t="s">
        <v>11</v>
      </c>
      <c r="C323" s="5" t="s">
        <v>426</v>
      </c>
      <c r="D323" s="5" t="s">
        <v>209</v>
      </c>
    </row>
    <row r="324" spans="1:4" x14ac:dyDescent="0.2">
      <c r="A324" s="5" t="s">
        <v>58</v>
      </c>
      <c r="B324" s="5" t="s">
        <v>11</v>
      </c>
      <c r="C324" s="5" t="s">
        <v>846</v>
      </c>
      <c r="D324" s="5" t="s">
        <v>209</v>
      </c>
    </row>
    <row r="325" spans="1:4" x14ac:dyDescent="0.2">
      <c r="A325" s="5" t="s">
        <v>58</v>
      </c>
      <c r="B325" s="5" t="s">
        <v>11</v>
      </c>
      <c r="C325" s="5" t="s">
        <v>849</v>
      </c>
      <c r="D325" s="5" t="s">
        <v>209</v>
      </c>
    </row>
    <row r="326" spans="1:4" x14ac:dyDescent="0.2">
      <c r="A326" s="5" t="s">
        <v>58</v>
      </c>
      <c r="B326" s="5" t="s">
        <v>11</v>
      </c>
      <c r="C326" s="5" t="s">
        <v>494</v>
      </c>
      <c r="D326" s="5" t="s">
        <v>209</v>
      </c>
    </row>
    <row r="327" spans="1:4" x14ac:dyDescent="0.2">
      <c r="A327" s="5" t="s">
        <v>58</v>
      </c>
      <c r="B327" s="5" t="s">
        <v>11</v>
      </c>
      <c r="C327" s="5" t="s">
        <v>850</v>
      </c>
      <c r="D327" s="5" t="s">
        <v>209</v>
      </c>
    </row>
    <row r="328" spans="1:4" x14ac:dyDescent="0.2">
      <c r="A328" s="5" t="s">
        <v>58</v>
      </c>
      <c r="B328" s="5" t="s">
        <v>11</v>
      </c>
      <c r="C328" s="5" t="s">
        <v>851</v>
      </c>
      <c r="D328" s="5" t="s">
        <v>209</v>
      </c>
    </row>
    <row r="329" spans="1:4" x14ac:dyDescent="0.2">
      <c r="A329" s="5" t="s">
        <v>58</v>
      </c>
      <c r="B329" s="5" t="s">
        <v>11</v>
      </c>
      <c r="C329" s="5" t="s">
        <v>853</v>
      </c>
      <c r="D329" s="5" t="s">
        <v>209</v>
      </c>
    </row>
    <row r="330" spans="1:4" x14ac:dyDescent="0.2">
      <c r="A330" s="5" t="s">
        <v>59</v>
      </c>
      <c r="B330" s="5" t="s">
        <v>14</v>
      </c>
      <c r="C330" s="5" t="s">
        <v>854</v>
      </c>
      <c r="D330" s="5" t="s">
        <v>212</v>
      </c>
    </row>
    <row r="331" spans="1:4" x14ac:dyDescent="0.2">
      <c r="A331" s="5" t="s">
        <v>59</v>
      </c>
      <c r="B331" s="5" t="s">
        <v>14</v>
      </c>
      <c r="C331" s="5" t="s">
        <v>648</v>
      </c>
      <c r="D331" s="5" t="s">
        <v>212</v>
      </c>
    </row>
    <row r="332" spans="1:4" x14ac:dyDescent="0.2">
      <c r="A332" s="5" t="s">
        <v>59</v>
      </c>
      <c r="B332" s="5" t="s">
        <v>14</v>
      </c>
      <c r="C332" s="5" t="s">
        <v>494</v>
      </c>
      <c r="D332" s="5" t="s">
        <v>212</v>
      </c>
    </row>
    <row r="333" spans="1:4" x14ac:dyDescent="0.2">
      <c r="A333" s="5" t="s">
        <v>59</v>
      </c>
      <c r="B333" s="5" t="s">
        <v>14</v>
      </c>
      <c r="C333" s="5" t="s">
        <v>857</v>
      </c>
      <c r="D333" s="5" t="s">
        <v>212</v>
      </c>
    </row>
    <row r="334" spans="1:4" x14ac:dyDescent="0.2">
      <c r="A334" s="5" t="s">
        <v>59</v>
      </c>
      <c r="B334" s="5" t="s">
        <v>14</v>
      </c>
      <c r="C334" s="5" t="s">
        <v>858</v>
      </c>
      <c r="D334" s="5" t="s">
        <v>212</v>
      </c>
    </row>
    <row r="335" spans="1:4" x14ac:dyDescent="0.2">
      <c r="A335" s="5" t="s">
        <v>59</v>
      </c>
      <c r="B335" s="5" t="s">
        <v>14</v>
      </c>
      <c r="C335" s="5" t="s">
        <v>859</v>
      </c>
      <c r="D335" s="5" t="s">
        <v>212</v>
      </c>
    </row>
    <row r="336" spans="1:4" x14ac:dyDescent="0.2">
      <c r="A336" s="5" t="s">
        <v>59</v>
      </c>
      <c r="B336" s="5" t="s">
        <v>14</v>
      </c>
      <c r="C336" s="5" t="s">
        <v>861</v>
      </c>
      <c r="D336" s="5" t="s">
        <v>212</v>
      </c>
    </row>
    <row r="337" spans="1:4" x14ac:dyDescent="0.2">
      <c r="A337" s="5" t="s">
        <v>59</v>
      </c>
      <c r="B337" s="5" t="s">
        <v>14</v>
      </c>
      <c r="C337" s="5" t="s">
        <v>863</v>
      </c>
      <c r="D337" s="5" t="s">
        <v>212</v>
      </c>
    </row>
    <row r="338" spans="1:4" x14ac:dyDescent="0.2">
      <c r="A338" s="5" t="s">
        <v>59</v>
      </c>
      <c r="B338" s="5" t="s">
        <v>14</v>
      </c>
      <c r="C338" s="5" t="s">
        <v>864</v>
      </c>
      <c r="D338" s="5" t="s">
        <v>212</v>
      </c>
    </row>
    <row r="339" spans="1:4" x14ac:dyDescent="0.2">
      <c r="A339" s="5" t="s">
        <v>59</v>
      </c>
      <c r="B339" s="5" t="s">
        <v>14</v>
      </c>
      <c r="C339" s="5" t="s">
        <v>865</v>
      </c>
      <c r="D339" s="5" t="s">
        <v>212</v>
      </c>
    </row>
    <row r="340" spans="1:4" x14ac:dyDescent="0.2">
      <c r="A340" s="5" t="s">
        <v>59</v>
      </c>
      <c r="B340" s="5" t="s">
        <v>14</v>
      </c>
      <c r="C340" s="5" t="s">
        <v>866</v>
      </c>
      <c r="D340" s="5" t="s">
        <v>212</v>
      </c>
    </row>
    <row r="341" spans="1:4" x14ac:dyDescent="0.2">
      <c r="A341" s="5" t="s">
        <v>59</v>
      </c>
      <c r="B341" s="5" t="s">
        <v>14</v>
      </c>
      <c r="C341" s="5" t="s">
        <v>422</v>
      </c>
      <c r="D341" s="5" t="s">
        <v>212</v>
      </c>
    </row>
    <row r="342" spans="1:4" x14ac:dyDescent="0.2">
      <c r="A342" s="5" t="s">
        <v>59</v>
      </c>
      <c r="B342" s="5" t="s">
        <v>14</v>
      </c>
      <c r="C342" s="5" t="s">
        <v>867</v>
      </c>
      <c r="D342" s="5" t="s">
        <v>212</v>
      </c>
    </row>
    <row r="343" spans="1:4" x14ac:dyDescent="0.2">
      <c r="A343" s="5" t="s">
        <v>60</v>
      </c>
      <c r="B343" s="5" t="s">
        <v>22</v>
      </c>
      <c r="C343" s="5" t="s">
        <v>868</v>
      </c>
      <c r="D343" s="5" t="s">
        <v>215</v>
      </c>
    </row>
    <row r="344" spans="1:4" x14ac:dyDescent="0.2">
      <c r="A344" s="5" t="s">
        <v>60</v>
      </c>
      <c r="B344" s="5" t="s">
        <v>22</v>
      </c>
      <c r="C344" s="5" t="s">
        <v>870</v>
      </c>
      <c r="D344" s="5" t="s">
        <v>215</v>
      </c>
    </row>
    <row r="345" spans="1:4" x14ac:dyDescent="0.2">
      <c r="A345" s="5" t="s">
        <v>60</v>
      </c>
      <c r="B345" s="5" t="s">
        <v>22</v>
      </c>
      <c r="C345" s="5" t="s">
        <v>871</v>
      </c>
      <c r="D345" s="5" t="s">
        <v>215</v>
      </c>
    </row>
    <row r="346" spans="1:4" x14ac:dyDescent="0.2">
      <c r="A346" s="5" t="s">
        <v>60</v>
      </c>
      <c r="B346" s="5" t="s">
        <v>22</v>
      </c>
      <c r="C346" s="5" t="s">
        <v>872</v>
      </c>
      <c r="D346" s="5" t="s">
        <v>215</v>
      </c>
    </row>
    <row r="347" spans="1:4" x14ac:dyDescent="0.2">
      <c r="A347" s="5" t="s">
        <v>60</v>
      </c>
      <c r="B347" s="5" t="s">
        <v>22</v>
      </c>
      <c r="C347" s="5" t="s">
        <v>873</v>
      </c>
      <c r="D347" s="5" t="s">
        <v>215</v>
      </c>
    </row>
    <row r="348" spans="1:4" x14ac:dyDescent="0.2">
      <c r="A348" s="5" t="s">
        <v>60</v>
      </c>
      <c r="B348" s="5" t="s">
        <v>22</v>
      </c>
      <c r="C348" s="5" t="s">
        <v>487</v>
      </c>
      <c r="D348" s="5" t="s">
        <v>215</v>
      </c>
    </row>
    <row r="349" spans="1:4" x14ac:dyDescent="0.2">
      <c r="A349" s="5" t="s">
        <v>60</v>
      </c>
      <c r="B349" s="5" t="s">
        <v>22</v>
      </c>
      <c r="C349" s="5" t="s">
        <v>874</v>
      </c>
      <c r="D349" s="5" t="s">
        <v>215</v>
      </c>
    </row>
    <row r="350" spans="1:4" x14ac:dyDescent="0.2">
      <c r="A350" s="5" t="s">
        <v>60</v>
      </c>
      <c r="B350" s="5" t="s">
        <v>22</v>
      </c>
      <c r="C350" s="5" t="s">
        <v>876</v>
      </c>
      <c r="D350" s="5" t="s">
        <v>215</v>
      </c>
    </row>
    <row r="351" spans="1:4" x14ac:dyDescent="0.2">
      <c r="A351" s="5" t="s">
        <v>61</v>
      </c>
      <c r="B351" s="5" t="s">
        <v>11</v>
      </c>
      <c r="C351" s="5" t="s">
        <v>877</v>
      </c>
      <c r="D351" s="5" t="s">
        <v>218</v>
      </c>
    </row>
    <row r="352" spans="1:4" x14ac:dyDescent="0.2">
      <c r="A352" s="5" t="s">
        <v>61</v>
      </c>
      <c r="B352" s="5" t="s">
        <v>11</v>
      </c>
      <c r="C352" s="5" t="s">
        <v>880</v>
      </c>
      <c r="D352" s="5" t="s">
        <v>218</v>
      </c>
    </row>
    <row r="353" spans="1:4" x14ac:dyDescent="0.2">
      <c r="A353" s="5" t="s">
        <v>61</v>
      </c>
      <c r="B353" s="5" t="s">
        <v>11</v>
      </c>
      <c r="C353" s="5" t="s">
        <v>558</v>
      </c>
      <c r="D353" s="5" t="s">
        <v>218</v>
      </c>
    </row>
    <row r="354" spans="1:4" x14ac:dyDescent="0.2">
      <c r="A354" s="5" t="s">
        <v>61</v>
      </c>
      <c r="B354" s="5" t="s">
        <v>11</v>
      </c>
      <c r="C354" s="5" t="s">
        <v>690</v>
      </c>
      <c r="D354" s="5" t="s">
        <v>218</v>
      </c>
    </row>
    <row r="355" spans="1:4" x14ac:dyDescent="0.2">
      <c r="A355" s="5" t="s">
        <v>61</v>
      </c>
      <c r="B355" s="5" t="s">
        <v>11</v>
      </c>
      <c r="C355" s="5" t="s">
        <v>881</v>
      </c>
      <c r="D355" s="5" t="s">
        <v>218</v>
      </c>
    </row>
    <row r="356" spans="1:4" x14ac:dyDescent="0.2">
      <c r="A356" s="5" t="s">
        <v>61</v>
      </c>
      <c r="B356" s="5" t="s">
        <v>11</v>
      </c>
      <c r="C356" s="5" t="s">
        <v>883</v>
      </c>
      <c r="D356" s="5" t="s">
        <v>218</v>
      </c>
    </row>
    <row r="357" spans="1:4" x14ac:dyDescent="0.2">
      <c r="A357" s="5" t="s">
        <v>61</v>
      </c>
      <c r="B357" s="5" t="s">
        <v>11</v>
      </c>
      <c r="C357" s="5" t="s">
        <v>885</v>
      </c>
      <c r="D357" s="5" t="s">
        <v>218</v>
      </c>
    </row>
    <row r="358" spans="1:4" x14ac:dyDescent="0.2">
      <c r="A358" s="5" t="s">
        <v>61</v>
      </c>
      <c r="B358" s="5" t="s">
        <v>11</v>
      </c>
      <c r="C358" s="5" t="s">
        <v>886</v>
      </c>
      <c r="D358" s="5" t="s">
        <v>218</v>
      </c>
    </row>
    <row r="359" spans="1:4" x14ac:dyDescent="0.2">
      <c r="A359" s="5" t="s">
        <v>61</v>
      </c>
      <c r="B359" s="5" t="s">
        <v>11</v>
      </c>
      <c r="C359" s="5" t="s">
        <v>888</v>
      </c>
      <c r="D359" s="5" t="s">
        <v>218</v>
      </c>
    </row>
    <row r="360" spans="1:4" x14ac:dyDescent="0.2">
      <c r="A360" s="5" t="s">
        <v>61</v>
      </c>
      <c r="B360" s="5" t="s">
        <v>11</v>
      </c>
      <c r="C360" s="5" t="s">
        <v>889</v>
      </c>
      <c r="D360" s="5" t="s">
        <v>218</v>
      </c>
    </row>
    <row r="361" spans="1:4" x14ac:dyDescent="0.2">
      <c r="A361" s="5" t="s">
        <v>61</v>
      </c>
      <c r="B361" s="5" t="s">
        <v>11</v>
      </c>
      <c r="C361" s="5" t="s">
        <v>890</v>
      </c>
      <c r="D361" s="5" t="s">
        <v>218</v>
      </c>
    </row>
    <row r="362" spans="1:4" x14ac:dyDescent="0.2">
      <c r="A362" s="5" t="s">
        <v>62</v>
      </c>
      <c r="B362" s="5" t="s">
        <v>63</v>
      </c>
      <c r="C362" s="5" t="s">
        <v>892</v>
      </c>
      <c r="D362" s="5" t="s">
        <v>221</v>
      </c>
    </row>
    <row r="363" spans="1:4" x14ac:dyDescent="0.2">
      <c r="A363" s="5" t="s">
        <v>62</v>
      </c>
      <c r="B363" s="5" t="s">
        <v>63</v>
      </c>
      <c r="C363" s="5" t="s">
        <v>895</v>
      </c>
      <c r="D363" s="5" t="s">
        <v>221</v>
      </c>
    </row>
    <row r="364" spans="1:4" x14ac:dyDescent="0.2">
      <c r="A364" s="5" t="s">
        <v>64</v>
      </c>
      <c r="B364" s="5" t="s">
        <v>11</v>
      </c>
      <c r="C364" s="5" t="s">
        <v>898</v>
      </c>
      <c r="D364" s="5" t="s">
        <v>224</v>
      </c>
    </row>
    <row r="365" spans="1:4" x14ac:dyDescent="0.2">
      <c r="A365" s="5" t="s">
        <v>64</v>
      </c>
      <c r="B365" s="5" t="s">
        <v>11</v>
      </c>
      <c r="C365" s="5" t="s">
        <v>814</v>
      </c>
      <c r="D365" s="5" t="s">
        <v>224</v>
      </c>
    </row>
    <row r="366" spans="1:4" x14ac:dyDescent="0.2">
      <c r="A366" s="5" t="s">
        <v>64</v>
      </c>
      <c r="B366" s="5" t="s">
        <v>11</v>
      </c>
      <c r="C366" s="5" t="s">
        <v>899</v>
      </c>
      <c r="D366" s="5" t="s">
        <v>224</v>
      </c>
    </row>
    <row r="367" spans="1:4" x14ac:dyDescent="0.2">
      <c r="A367" s="5" t="s">
        <v>64</v>
      </c>
      <c r="B367" s="5" t="s">
        <v>11</v>
      </c>
      <c r="C367" s="5" t="s">
        <v>901</v>
      </c>
      <c r="D367" s="5" t="s">
        <v>224</v>
      </c>
    </row>
    <row r="368" spans="1:4" x14ac:dyDescent="0.2">
      <c r="A368" s="5" t="s">
        <v>64</v>
      </c>
      <c r="B368" s="5" t="s">
        <v>11</v>
      </c>
      <c r="C368" s="5" t="s">
        <v>902</v>
      </c>
      <c r="D368" s="5" t="s">
        <v>224</v>
      </c>
    </row>
    <row r="369" spans="1:4" x14ac:dyDescent="0.2">
      <c r="A369" s="5" t="s">
        <v>64</v>
      </c>
      <c r="B369" s="5" t="s">
        <v>11</v>
      </c>
      <c r="C369" s="5" t="s">
        <v>903</v>
      </c>
      <c r="D369" s="5" t="s">
        <v>224</v>
      </c>
    </row>
    <row r="370" spans="1:4" x14ac:dyDescent="0.2">
      <c r="A370" s="5" t="s">
        <v>64</v>
      </c>
      <c r="B370" s="5" t="s">
        <v>11</v>
      </c>
      <c r="C370" s="5" t="s">
        <v>906</v>
      </c>
      <c r="D370" s="5" t="s">
        <v>224</v>
      </c>
    </row>
    <row r="371" spans="1:4" x14ac:dyDescent="0.2">
      <c r="A371" s="5" t="s">
        <v>64</v>
      </c>
      <c r="B371" s="5" t="s">
        <v>11</v>
      </c>
      <c r="C371" s="5" t="s">
        <v>907</v>
      </c>
      <c r="D371" s="5" t="s">
        <v>224</v>
      </c>
    </row>
    <row r="372" spans="1:4" x14ac:dyDescent="0.2">
      <c r="A372" s="5" t="s">
        <v>64</v>
      </c>
      <c r="B372" s="5" t="s">
        <v>11</v>
      </c>
      <c r="C372" s="5" t="s">
        <v>910</v>
      </c>
      <c r="D372" s="5" t="s">
        <v>224</v>
      </c>
    </row>
    <row r="373" spans="1:4" x14ac:dyDescent="0.2">
      <c r="A373" s="5" t="s">
        <v>64</v>
      </c>
      <c r="B373" s="5" t="s">
        <v>11</v>
      </c>
      <c r="C373" s="5" t="s">
        <v>911</v>
      </c>
      <c r="D373" s="5" t="s">
        <v>224</v>
      </c>
    </row>
    <row r="374" spans="1:4" x14ac:dyDescent="0.2">
      <c r="A374" s="5" t="s">
        <v>64</v>
      </c>
      <c r="B374" s="5" t="s">
        <v>11</v>
      </c>
      <c r="C374" s="5" t="s">
        <v>912</v>
      </c>
      <c r="D374" s="5" t="s">
        <v>224</v>
      </c>
    </row>
    <row r="375" spans="1:4" x14ac:dyDescent="0.2">
      <c r="A375" s="5" t="s">
        <v>64</v>
      </c>
      <c r="B375" s="5" t="s">
        <v>11</v>
      </c>
      <c r="C375" s="5" t="s">
        <v>913</v>
      </c>
      <c r="D375" s="5" t="s">
        <v>224</v>
      </c>
    </row>
    <row r="376" spans="1:4" x14ac:dyDescent="0.2">
      <c r="A376" s="5" t="s">
        <v>64</v>
      </c>
      <c r="B376" s="5" t="s">
        <v>11</v>
      </c>
      <c r="C376" s="5" t="s">
        <v>533</v>
      </c>
      <c r="D376" s="5" t="s">
        <v>224</v>
      </c>
    </row>
    <row r="377" spans="1:4" x14ac:dyDescent="0.2">
      <c r="A377" s="5" t="s">
        <v>65</v>
      </c>
      <c r="B377" s="5" t="s">
        <v>14</v>
      </c>
      <c r="C377" s="5" t="s">
        <v>914</v>
      </c>
      <c r="D377" s="5" t="s">
        <v>227</v>
      </c>
    </row>
    <row r="378" spans="1:4" x14ac:dyDescent="0.2">
      <c r="A378" s="5" t="s">
        <v>65</v>
      </c>
      <c r="B378" s="5" t="s">
        <v>14</v>
      </c>
      <c r="C378" s="5" t="s">
        <v>334</v>
      </c>
      <c r="D378" s="5" t="s">
        <v>227</v>
      </c>
    </row>
    <row r="379" spans="1:4" x14ac:dyDescent="0.2">
      <c r="A379" s="5" t="s">
        <v>65</v>
      </c>
      <c r="B379" s="5" t="s">
        <v>14</v>
      </c>
      <c r="C379" s="5" t="s">
        <v>422</v>
      </c>
      <c r="D379" s="5" t="s">
        <v>227</v>
      </c>
    </row>
    <row r="380" spans="1:4" x14ac:dyDescent="0.2">
      <c r="A380" s="5" t="s">
        <v>65</v>
      </c>
      <c r="B380" s="5" t="s">
        <v>14</v>
      </c>
      <c r="C380" s="5" t="s">
        <v>916</v>
      </c>
      <c r="D380" s="5" t="s">
        <v>227</v>
      </c>
    </row>
    <row r="381" spans="1:4" x14ac:dyDescent="0.2">
      <c r="A381" s="5" t="s">
        <v>66</v>
      </c>
      <c r="B381" s="5" t="s">
        <v>17</v>
      </c>
      <c r="C381" s="5" t="s">
        <v>917</v>
      </c>
      <c r="D381" s="5" t="s">
        <v>230</v>
      </c>
    </row>
    <row r="382" spans="1:4" x14ac:dyDescent="0.2">
      <c r="A382" s="5" t="s">
        <v>66</v>
      </c>
      <c r="B382" s="5" t="s">
        <v>17</v>
      </c>
      <c r="C382" s="5" t="s">
        <v>918</v>
      </c>
      <c r="D382" s="5" t="s">
        <v>230</v>
      </c>
    </row>
    <row r="383" spans="1:4" x14ac:dyDescent="0.2">
      <c r="A383" s="5" t="s">
        <v>66</v>
      </c>
      <c r="B383" s="5" t="s">
        <v>17</v>
      </c>
      <c r="C383" s="5" t="s">
        <v>919</v>
      </c>
      <c r="D383" s="5" t="s">
        <v>230</v>
      </c>
    </row>
    <row r="384" spans="1:4" x14ac:dyDescent="0.2">
      <c r="A384" s="5" t="s">
        <v>66</v>
      </c>
      <c r="B384" s="5" t="s">
        <v>17</v>
      </c>
      <c r="C384" s="5" t="s">
        <v>784</v>
      </c>
      <c r="D384" s="5" t="s">
        <v>230</v>
      </c>
    </row>
    <row r="385" spans="1:4" x14ac:dyDescent="0.2">
      <c r="A385" s="5" t="s">
        <v>66</v>
      </c>
      <c r="B385" s="5" t="s">
        <v>17</v>
      </c>
      <c r="C385" s="5" t="s">
        <v>920</v>
      </c>
      <c r="D385" s="5" t="s">
        <v>230</v>
      </c>
    </row>
    <row r="386" spans="1:4" x14ac:dyDescent="0.2">
      <c r="A386" s="5" t="s">
        <v>66</v>
      </c>
      <c r="B386" s="5" t="s">
        <v>17</v>
      </c>
      <c r="C386" s="5" t="s">
        <v>922</v>
      </c>
      <c r="D386" s="5" t="s">
        <v>230</v>
      </c>
    </row>
    <row r="387" spans="1:4" x14ac:dyDescent="0.2">
      <c r="A387" s="5" t="s">
        <v>66</v>
      </c>
      <c r="B387" s="5" t="s">
        <v>17</v>
      </c>
      <c r="C387" s="5" t="s">
        <v>923</v>
      </c>
      <c r="D387" s="5" t="s">
        <v>230</v>
      </c>
    </row>
    <row r="388" spans="1:4" x14ac:dyDescent="0.2">
      <c r="A388" s="5" t="s">
        <v>66</v>
      </c>
      <c r="B388" s="5" t="s">
        <v>17</v>
      </c>
      <c r="C388" s="5" t="s">
        <v>924</v>
      </c>
      <c r="D388" s="5" t="s">
        <v>230</v>
      </c>
    </row>
    <row r="389" spans="1:4" x14ac:dyDescent="0.2">
      <c r="A389" s="5" t="s">
        <v>67</v>
      </c>
      <c r="B389" s="5" t="s">
        <v>11</v>
      </c>
      <c r="C389" s="5" t="s">
        <v>926</v>
      </c>
      <c r="D389" s="5" t="s">
        <v>233</v>
      </c>
    </row>
    <row r="390" spans="1:4" x14ac:dyDescent="0.2">
      <c r="A390" s="5" t="s">
        <v>67</v>
      </c>
      <c r="B390" s="5" t="s">
        <v>11</v>
      </c>
      <c r="C390" s="5" t="s">
        <v>928</v>
      </c>
      <c r="D390" s="5" t="s">
        <v>233</v>
      </c>
    </row>
    <row r="391" spans="1:4" x14ac:dyDescent="0.2">
      <c r="A391" s="5" t="s">
        <v>67</v>
      </c>
      <c r="B391" s="5" t="s">
        <v>11</v>
      </c>
      <c r="C391" s="5" t="s">
        <v>929</v>
      </c>
      <c r="D391" s="5" t="s">
        <v>233</v>
      </c>
    </row>
    <row r="392" spans="1:4" x14ac:dyDescent="0.2">
      <c r="A392" s="5" t="s">
        <v>67</v>
      </c>
      <c r="B392" s="5" t="s">
        <v>11</v>
      </c>
      <c r="C392" s="5" t="s">
        <v>931</v>
      </c>
      <c r="D392" s="5" t="s">
        <v>233</v>
      </c>
    </row>
    <row r="393" spans="1:4" x14ac:dyDescent="0.2">
      <c r="A393" s="5" t="s">
        <v>67</v>
      </c>
      <c r="B393" s="5" t="s">
        <v>11</v>
      </c>
      <c r="C393" s="5" t="s">
        <v>933</v>
      </c>
      <c r="D393" s="5" t="s">
        <v>233</v>
      </c>
    </row>
    <row r="394" spans="1:4" x14ac:dyDescent="0.2">
      <c r="A394" s="5" t="s">
        <v>68</v>
      </c>
      <c r="B394" s="5" t="s">
        <v>22</v>
      </c>
      <c r="C394" s="5" t="s">
        <v>934</v>
      </c>
      <c r="D394" s="5" t="s">
        <v>236</v>
      </c>
    </row>
    <row r="395" spans="1:4" x14ac:dyDescent="0.2">
      <c r="A395" s="5" t="s">
        <v>68</v>
      </c>
      <c r="B395" s="5" t="s">
        <v>22</v>
      </c>
      <c r="C395" s="5" t="s">
        <v>939</v>
      </c>
      <c r="D395" s="5" t="s">
        <v>236</v>
      </c>
    </row>
    <row r="396" spans="1:4" x14ac:dyDescent="0.2">
      <c r="A396" s="5" t="s">
        <v>68</v>
      </c>
      <c r="B396" s="5" t="s">
        <v>22</v>
      </c>
      <c r="C396" s="5" t="s">
        <v>940</v>
      </c>
      <c r="D396" s="5" t="s">
        <v>236</v>
      </c>
    </row>
    <row r="397" spans="1:4" x14ac:dyDescent="0.2">
      <c r="A397" s="5" t="s">
        <v>68</v>
      </c>
      <c r="B397" s="5" t="s">
        <v>22</v>
      </c>
      <c r="C397" s="5" t="s">
        <v>943</v>
      </c>
      <c r="D397" s="5" t="s">
        <v>236</v>
      </c>
    </row>
    <row r="398" spans="1:4" x14ac:dyDescent="0.2">
      <c r="A398" s="5" t="s">
        <v>68</v>
      </c>
      <c r="B398" s="5" t="s">
        <v>22</v>
      </c>
      <c r="C398" s="5" t="s">
        <v>944</v>
      </c>
      <c r="D398" s="5" t="s">
        <v>236</v>
      </c>
    </row>
    <row r="399" spans="1:4" x14ac:dyDescent="0.2">
      <c r="A399" s="5" t="s">
        <v>68</v>
      </c>
      <c r="B399" s="5" t="s">
        <v>22</v>
      </c>
      <c r="C399" s="5" t="s">
        <v>393</v>
      </c>
      <c r="D399" s="5" t="s">
        <v>236</v>
      </c>
    </row>
    <row r="400" spans="1:4" x14ac:dyDescent="0.2">
      <c r="A400" s="5" t="s">
        <v>68</v>
      </c>
      <c r="B400" s="5" t="s">
        <v>22</v>
      </c>
      <c r="C400" s="5" t="s">
        <v>590</v>
      </c>
      <c r="D400" s="5" t="s">
        <v>236</v>
      </c>
    </row>
    <row r="401" spans="1:4" x14ac:dyDescent="0.2">
      <c r="A401" s="5" t="s">
        <v>68</v>
      </c>
      <c r="B401" s="5" t="s">
        <v>22</v>
      </c>
      <c r="C401" s="5" t="s">
        <v>945</v>
      </c>
      <c r="D401" s="5" t="s">
        <v>236</v>
      </c>
    </row>
    <row r="402" spans="1:4" x14ac:dyDescent="0.2">
      <c r="A402" s="5" t="s">
        <v>68</v>
      </c>
      <c r="B402" s="5" t="s">
        <v>22</v>
      </c>
      <c r="C402" s="5" t="s">
        <v>750</v>
      </c>
      <c r="D402" s="5" t="s">
        <v>236</v>
      </c>
    </row>
    <row r="403" spans="1:4" x14ac:dyDescent="0.2">
      <c r="A403" s="5" t="s">
        <v>69</v>
      </c>
      <c r="B403" s="5" t="s">
        <v>50</v>
      </c>
      <c r="C403" s="5" t="s">
        <v>947</v>
      </c>
      <c r="D403" s="5" t="s">
        <v>239</v>
      </c>
    </row>
    <row r="404" spans="1:4" x14ac:dyDescent="0.2">
      <c r="A404" s="5" t="s">
        <v>69</v>
      </c>
      <c r="B404" s="5" t="s">
        <v>50</v>
      </c>
      <c r="C404" s="5" t="s">
        <v>950</v>
      </c>
      <c r="D404" s="5" t="s">
        <v>239</v>
      </c>
    </row>
    <row r="405" spans="1:4" x14ac:dyDescent="0.2">
      <c r="A405" s="5" t="s">
        <v>69</v>
      </c>
      <c r="B405" s="5" t="s">
        <v>50</v>
      </c>
      <c r="C405" s="5" t="s">
        <v>953</v>
      </c>
      <c r="D405" s="5" t="s">
        <v>239</v>
      </c>
    </row>
    <row r="406" spans="1:4" x14ac:dyDescent="0.2">
      <c r="A406" s="5" t="s">
        <v>69</v>
      </c>
      <c r="B406" s="5" t="s">
        <v>50</v>
      </c>
      <c r="C406" s="5" t="s">
        <v>775</v>
      </c>
      <c r="D406" s="5" t="s">
        <v>239</v>
      </c>
    </row>
    <row r="407" spans="1:4" x14ac:dyDescent="0.2">
      <c r="A407" s="5" t="s">
        <v>69</v>
      </c>
      <c r="B407" s="5" t="s">
        <v>50</v>
      </c>
      <c r="C407" s="5" t="s">
        <v>956</v>
      </c>
      <c r="D407" s="5" t="s">
        <v>239</v>
      </c>
    </row>
    <row r="408" spans="1:4" x14ac:dyDescent="0.2">
      <c r="A408" s="5" t="s">
        <v>69</v>
      </c>
      <c r="B408" s="5" t="s">
        <v>50</v>
      </c>
      <c r="C408" s="5" t="s">
        <v>957</v>
      </c>
      <c r="D408" s="5" t="s">
        <v>239</v>
      </c>
    </row>
    <row r="409" spans="1:4" x14ac:dyDescent="0.2">
      <c r="A409" s="5" t="s">
        <v>69</v>
      </c>
      <c r="B409" s="5" t="s">
        <v>50</v>
      </c>
      <c r="C409" s="5" t="s">
        <v>345</v>
      </c>
      <c r="D409" s="5" t="s">
        <v>239</v>
      </c>
    </row>
    <row r="410" spans="1:4" x14ac:dyDescent="0.2">
      <c r="A410" s="5" t="s">
        <v>69</v>
      </c>
      <c r="B410" s="5" t="s">
        <v>50</v>
      </c>
      <c r="C410" s="5" t="s">
        <v>422</v>
      </c>
      <c r="D410" s="5" t="s">
        <v>239</v>
      </c>
    </row>
    <row r="411" spans="1:4" x14ac:dyDescent="0.2">
      <c r="A411" s="5" t="s">
        <v>69</v>
      </c>
      <c r="B411" s="5" t="s">
        <v>50</v>
      </c>
      <c r="C411" s="5" t="s">
        <v>648</v>
      </c>
      <c r="D411" s="5" t="s">
        <v>239</v>
      </c>
    </row>
    <row r="412" spans="1:4" x14ac:dyDescent="0.2">
      <c r="A412" s="5" t="s">
        <v>69</v>
      </c>
      <c r="B412" s="5" t="s">
        <v>50</v>
      </c>
      <c r="C412" s="5" t="s">
        <v>494</v>
      </c>
      <c r="D412" s="5" t="s">
        <v>239</v>
      </c>
    </row>
    <row r="413" spans="1:4" x14ac:dyDescent="0.2">
      <c r="A413" s="5" t="s">
        <v>69</v>
      </c>
      <c r="B413" s="5" t="s">
        <v>50</v>
      </c>
      <c r="C413" s="5" t="s">
        <v>959</v>
      </c>
      <c r="D413" s="5" t="s">
        <v>239</v>
      </c>
    </row>
    <row r="414" spans="1:4" x14ac:dyDescent="0.2">
      <c r="A414" s="5" t="s">
        <v>69</v>
      </c>
      <c r="B414" s="5" t="s">
        <v>50</v>
      </c>
      <c r="C414" s="5" t="s">
        <v>317</v>
      </c>
      <c r="D414" s="5" t="s">
        <v>239</v>
      </c>
    </row>
    <row r="415" spans="1:4" x14ac:dyDescent="0.2">
      <c r="A415" s="5" t="s">
        <v>69</v>
      </c>
      <c r="B415" s="5" t="s">
        <v>50</v>
      </c>
      <c r="C415" s="5" t="s">
        <v>963</v>
      </c>
      <c r="D415" s="5" t="s">
        <v>239</v>
      </c>
    </row>
    <row r="416" spans="1:4" x14ac:dyDescent="0.2">
      <c r="A416" s="5" t="s">
        <v>70</v>
      </c>
      <c r="B416" s="5" t="s">
        <v>63</v>
      </c>
      <c r="C416" s="5" t="s">
        <v>965</v>
      </c>
      <c r="D416" s="5" t="s">
        <v>242</v>
      </c>
    </row>
    <row r="417" spans="1:4" x14ac:dyDescent="0.2">
      <c r="A417" s="5" t="s">
        <v>70</v>
      </c>
      <c r="B417" s="5" t="s">
        <v>63</v>
      </c>
      <c r="C417" s="5" t="s">
        <v>968</v>
      </c>
      <c r="D417" s="5" t="s">
        <v>242</v>
      </c>
    </row>
    <row r="418" spans="1:4" x14ac:dyDescent="0.2">
      <c r="A418" s="5" t="s">
        <v>70</v>
      </c>
      <c r="B418" s="5" t="s">
        <v>63</v>
      </c>
      <c r="C418" s="5" t="s">
        <v>971</v>
      </c>
      <c r="D418" s="5" t="s">
        <v>242</v>
      </c>
    </row>
    <row r="419" spans="1:4" x14ac:dyDescent="0.2">
      <c r="A419" s="5" t="s">
        <v>70</v>
      </c>
      <c r="B419" s="5" t="s">
        <v>63</v>
      </c>
      <c r="C419" s="5" t="s">
        <v>974</v>
      </c>
      <c r="D419" s="5" t="s">
        <v>242</v>
      </c>
    </row>
    <row r="420" spans="1:4" x14ac:dyDescent="0.2">
      <c r="A420" s="5" t="s">
        <v>70</v>
      </c>
      <c r="B420" s="5" t="s">
        <v>63</v>
      </c>
      <c r="C420" s="5" t="s">
        <v>977</v>
      </c>
      <c r="D420" s="5" t="s">
        <v>242</v>
      </c>
    </row>
    <row r="421" spans="1:4" x14ac:dyDescent="0.2">
      <c r="A421" s="5" t="s">
        <v>71</v>
      </c>
      <c r="B421" s="5" t="s">
        <v>48</v>
      </c>
      <c r="C421" s="5" t="s">
        <v>979</v>
      </c>
      <c r="D421" s="5" t="s">
        <v>245</v>
      </c>
    </row>
    <row r="422" spans="1:4" x14ac:dyDescent="0.2">
      <c r="A422" s="5" t="s">
        <v>71</v>
      </c>
      <c r="B422" s="5" t="s">
        <v>48</v>
      </c>
      <c r="C422" s="5" t="s">
        <v>339</v>
      </c>
      <c r="D422" s="5" t="s">
        <v>245</v>
      </c>
    </row>
    <row r="423" spans="1:4" x14ac:dyDescent="0.2">
      <c r="A423" s="5" t="s">
        <v>71</v>
      </c>
      <c r="B423" s="5" t="s">
        <v>48</v>
      </c>
      <c r="C423" s="5" t="s">
        <v>980</v>
      </c>
      <c r="D423" s="5" t="s">
        <v>245</v>
      </c>
    </row>
    <row r="424" spans="1:4" x14ac:dyDescent="0.2">
      <c r="A424" s="5" t="s">
        <v>71</v>
      </c>
      <c r="B424" s="5" t="s">
        <v>48</v>
      </c>
      <c r="C424" s="5" t="s">
        <v>981</v>
      </c>
      <c r="D424" s="5" t="s">
        <v>245</v>
      </c>
    </row>
    <row r="425" spans="1:4" x14ac:dyDescent="0.2">
      <c r="A425" s="5" t="s">
        <v>71</v>
      </c>
      <c r="B425" s="5" t="s">
        <v>48</v>
      </c>
      <c r="C425" s="5" t="s">
        <v>797</v>
      </c>
      <c r="D425" s="5" t="s">
        <v>245</v>
      </c>
    </row>
    <row r="426" spans="1:4" x14ac:dyDescent="0.2">
      <c r="A426" s="5" t="s">
        <v>71</v>
      </c>
      <c r="B426" s="5" t="s">
        <v>48</v>
      </c>
      <c r="C426" s="5" t="s">
        <v>784</v>
      </c>
      <c r="D426" s="5" t="s">
        <v>245</v>
      </c>
    </row>
    <row r="427" spans="1:4" x14ac:dyDescent="0.2">
      <c r="A427" s="5" t="s">
        <v>71</v>
      </c>
      <c r="B427" s="5" t="s">
        <v>48</v>
      </c>
      <c r="C427" s="5" t="s">
        <v>982</v>
      </c>
      <c r="D427" s="5" t="s">
        <v>245</v>
      </c>
    </row>
    <row r="428" spans="1:4" x14ac:dyDescent="0.2">
      <c r="A428" s="5" t="s">
        <v>71</v>
      </c>
      <c r="B428" s="5" t="s">
        <v>48</v>
      </c>
      <c r="C428" s="5" t="s">
        <v>983</v>
      </c>
      <c r="D428" s="5" t="s">
        <v>245</v>
      </c>
    </row>
    <row r="429" spans="1:4" x14ac:dyDescent="0.2">
      <c r="A429" s="5" t="s">
        <v>71</v>
      </c>
      <c r="B429" s="5" t="s">
        <v>48</v>
      </c>
      <c r="C429" s="5" t="s">
        <v>984</v>
      </c>
      <c r="D429" s="5" t="s">
        <v>245</v>
      </c>
    </row>
    <row r="430" spans="1:4" x14ac:dyDescent="0.2">
      <c r="A430" s="5" t="s">
        <v>71</v>
      </c>
      <c r="B430" s="5" t="s">
        <v>48</v>
      </c>
      <c r="C430" s="5" t="s">
        <v>590</v>
      </c>
      <c r="D430" s="5" t="s">
        <v>245</v>
      </c>
    </row>
    <row r="431" spans="1:4" x14ac:dyDescent="0.2">
      <c r="A431" s="5" t="s">
        <v>71</v>
      </c>
      <c r="B431" s="5" t="s">
        <v>48</v>
      </c>
      <c r="C431" s="5" t="s">
        <v>985</v>
      </c>
      <c r="D431" s="5" t="s">
        <v>245</v>
      </c>
    </row>
    <row r="432" spans="1:4" x14ac:dyDescent="0.2">
      <c r="A432" s="5" t="s">
        <v>71</v>
      </c>
      <c r="B432" s="5" t="s">
        <v>48</v>
      </c>
      <c r="C432" s="5" t="s">
        <v>986</v>
      </c>
      <c r="D432" s="5" t="s">
        <v>245</v>
      </c>
    </row>
    <row r="433" spans="1:4" x14ac:dyDescent="0.2">
      <c r="A433" s="5" t="s">
        <v>72</v>
      </c>
      <c r="B433" s="5" t="s">
        <v>63</v>
      </c>
      <c r="C433" s="5" t="s">
        <v>988</v>
      </c>
      <c r="D433" s="5" t="s">
        <v>248</v>
      </c>
    </row>
    <row r="434" spans="1:4" x14ac:dyDescent="0.2">
      <c r="A434" s="5" t="s">
        <v>72</v>
      </c>
      <c r="B434" s="5" t="s">
        <v>63</v>
      </c>
      <c r="C434" s="5" t="s">
        <v>989</v>
      </c>
      <c r="D434" s="5" t="s">
        <v>248</v>
      </c>
    </row>
    <row r="435" spans="1:4" x14ac:dyDescent="0.2">
      <c r="A435" s="5" t="s">
        <v>72</v>
      </c>
      <c r="B435" s="5" t="s">
        <v>63</v>
      </c>
      <c r="C435" s="5" t="s">
        <v>991</v>
      </c>
      <c r="D435" s="5" t="s">
        <v>248</v>
      </c>
    </row>
    <row r="436" spans="1:4" x14ac:dyDescent="0.2">
      <c r="A436" s="5" t="s">
        <v>72</v>
      </c>
      <c r="B436" s="5" t="s">
        <v>63</v>
      </c>
      <c r="C436" s="5" t="s">
        <v>992</v>
      </c>
      <c r="D436" s="5" t="s">
        <v>248</v>
      </c>
    </row>
    <row r="437" spans="1:4" x14ac:dyDescent="0.2">
      <c r="A437" s="5" t="s">
        <v>72</v>
      </c>
      <c r="B437" s="5" t="s">
        <v>63</v>
      </c>
      <c r="C437" s="5" t="s">
        <v>994</v>
      </c>
      <c r="D437" s="5" t="s">
        <v>248</v>
      </c>
    </row>
    <row r="438" spans="1:4" x14ac:dyDescent="0.2">
      <c r="A438" s="5" t="s">
        <v>73</v>
      </c>
      <c r="B438" s="5" t="s">
        <v>63</v>
      </c>
      <c r="C438" s="5" t="s">
        <v>996</v>
      </c>
      <c r="D438" s="5" t="s">
        <v>248</v>
      </c>
    </row>
    <row r="439" spans="1:4" x14ac:dyDescent="0.2">
      <c r="A439" s="5" t="s">
        <v>73</v>
      </c>
      <c r="B439" s="5" t="s">
        <v>63</v>
      </c>
      <c r="C439" s="5" t="s">
        <v>991</v>
      </c>
      <c r="D439" s="5" t="s">
        <v>248</v>
      </c>
    </row>
    <row r="440" spans="1:4" x14ac:dyDescent="0.2">
      <c r="A440" s="5" t="s">
        <v>73</v>
      </c>
      <c r="B440" s="5" t="s">
        <v>63</v>
      </c>
      <c r="C440" s="5" t="s">
        <v>992</v>
      </c>
      <c r="D440" s="5" t="s">
        <v>248</v>
      </c>
    </row>
    <row r="441" spans="1:4" x14ac:dyDescent="0.2">
      <c r="A441" s="5" t="s">
        <v>73</v>
      </c>
      <c r="B441" s="5" t="s">
        <v>63</v>
      </c>
      <c r="C441" s="5" t="s">
        <v>997</v>
      </c>
      <c r="D441" s="5" t="s">
        <v>248</v>
      </c>
    </row>
    <row r="442" spans="1:4" x14ac:dyDescent="0.2">
      <c r="A442" s="5" t="s">
        <v>73</v>
      </c>
      <c r="B442" s="5" t="s">
        <v>63</v>
      </c>
      <c r="C442" s="5" t="s">
        <v>999</v>
      </c>
      <c r="D442" s="5" t="s">
        <v>248</v>
      </c>
    </row>
    <row r="443" spans="1:4" x14ac:dyDescent="0.2">
      <c r="A443" s="5" t="s">
        <v>73</v>
      </c>
      <c r="B443" s="5" t="s">
        <v>63</v>
      </c>
      <c r="C443" s="5" t="s">
        <v>1001</v>
      </c>
      <c r="D443" s="5" t="s">
        <v>248</v>
      </c>
    </row>
    <row r="444" spans="1:4" x14ac:dyDescent="0.2">
      <c r="A444" s="5" t="s">
        <v>74</v>
      </c>
      <c r="B444" s="5" t="s">
        <v>63</v>
      </c>
      <c r="C444" s="5" t="s">
        <v>1003</v>
      </c>
      <c r="D444" s="5" t="s">
        <v>248</v>
      </c>
    </row>
    <row r="445" spans="1:4" x14ac:dyDescent="0.2">
      <c r="A445" s="5" t="s">
        <v>74</v>
      </c>
      <c r="B445" s="5" t="s">
        <v>63</v>
      </c>
      <c r="C445" s="5" t="s">
        <v>1004</v>
      </c>
      <c r="D445" s="5" t="s">
        <v>248</v>
      </c>
    </row>
    <row r="446" spans="1:4" x14ac:dyDescent="0.2">
      <c r="A446" s="5" t="s">
        <v>74</v>
      </c>
      <c r="B446" s="5" t="s">
        <v>63</v>
      </c>
      <c r="C446" s="5" t="s">
        <v>1005</v>
      </c>
      <c r="D446" s="5" t="s">
        <v>248</v>
      </c>
    </row>
    <row r="447" spans="1:4" x14ac:dyDescent="0.2">
      <c r="A447" s="5" t="s">
        <v>74</v>
      </c>
      <c r="B447" s="5" t="s">
        <v>63</v>
      </c>
      <c r="C447" s="5" t="s">
        <v>1006</v>
      </c>
      <c r="D447" s="5" t="s">
        <v>248</v>
      </c>
    </row>
    <row r="448" spans="1:4" x14ac:dyDescent="0.2">
      <c r="A448" s="5" t="s">
        <v>74</v>
      </c>
      <c r="B448" s="5" t="s">
        <v>63</v>
      </c>
      <c r="C448" s="5" t="s">
        <v>1008</v>
      </c>
      <c r="D448" s="5" t="s">
        <v>248</v>
      </c>
    </row>
    <row r="449" spans="1:4" x14ac:dyDescent="0.2">
      <c r="A449" s="5" t="s">
        <v>75</v>
      </c>
      <c r="B449" s="5" t="s">
        <v>14</v>
      </c>
      <c r="C449" s="5" t="s">
        <v>1011</v>
      </c>
      <c r="D449" s="5" t="s">
        <v>253</v>
      </c>
    </row>
    <row r="450" spans="1:4" x14ac:dyDescent="0.2">
      <c r="A450" s="5" t="s">
        <v>75</v>
      </c>
      <c r="B450" s="5" t="s">
        <v>14</v>
      </c>
      <c r="C450" s="5" t="s">
        <v>1012</v>
      </c>
      <c r="D450" s="5" t="s">
        <v>253</v>
      </c>
    </row>
    <row r="451" spans="1:4" x14ac:dyDescent="0.2">
      <c r="A451" s="5" t="s">
        <v>75</v>
      </c>
      <c r="B451" s="5" t="s">
        <v>14</v>
      </c>
      <c r="C451" s="5" t="s">
        <v>348</v>
      </c>
      <c r="D451" s="5" t="s">
        <v>253</v>
      </c>
    </row>
    <row r="452" spans="1:4" x14ac:dyDescent="0.2">
      <c r="A452" s="5" t="s">
        <v>75</v>
      </c>
      <c r="B452" s="5" t="s">
        <v>14</v>
      </c>
      <c r="C452" s="5" t="s">
        <v>1014</v>
      </c>
      <c r="D452" s="5" t="s">
        <v>253</v>
      </c>
    </row>
    <row r="453" spans="1:4" x14ac:dyDescent="0.2">
      <c r="A453" s="5" t="s">
        <v>75</v>
      </c>
      <c r="B453" s="5" t="s">
        <v>14</v>
      </c>
      <c r="C453" s="5" t="s">
        <v>1015</v>
      </c>
      <c r="D453" s="5" t="s">
        <v>253</v>
      </c>
    </row>
    <row r="454" spans="1:4" x14ac:dyDescent="0.2">
      <c r="A454" s="5" t="s">
        <v>76</v>
      </c>
      <c r="B454" s="5" t="s">
        <v>48</v>
      </c>
      <c r="C454" s="5" t="s">
        <v>1017</v>
      </c>
      <c r="D454" s="5" t="s">
        <v>256</v>
      </c>
    </row>
    <row r="455" spans="1:4" x14ac:dyDescent="0.2">
      <c r="A455" s="5" t="s">
        <v>76</v>
      </c>
      <c r="B455" s="5" t="s">
        <v>48</v>
      </c>
      <c r="C455" s="5" t="s">
        <v>1018</v>
      </c>
      <c r="D455" s="5" t="s">
        <v>256</v>
      </c>
    </row>
    <row r="456" spans="1:4" x14ac:dyDescent="0.2">
      <c r="A456" s="5" t="s">
        <v>76</v>
      </c>
      <c r="B456" s="5" t="s">
        <v>48</v>
      </c>
      <c r="C456" s="5" t="s">
        <v>590</v>
      </c>
      <c r="D456" s="5" t="s">
        <v>256</v>
      </c>
    </row>
    <row r="457" spans="1:4" x14ac:dyDescent="0.2">
      <c r="A457" s="5" t="s">
        <v>76</v>
      </c>
      <c r="B457" s="5" t="s">
        <v>48</v>
      </c>
      <c r="C457" s="5" t="s">
        <v>1019</v>
      </c>
      <c r="D457" s="5" t="s">
        <v>256</v>
      </c>
    </row>
    <row r="458" spans="1:4" x14ac:dyDescent="0.2">
      <c r="A458" s="5" t="s">
        <v>76</v>
      </c>
      <c r="B458" s="5" t="s">
        <v>48</v>
      </c>
      <c r="C458" s="5" t="s">
        <v>1026</v>
      </c>
      <c r="D458" s="5" t="s">
        <v>256</v>
      </c>
    </row>
    <row r="459" spans="1:4" x14ac:dyDescent="0.2">
      <c r="A459" s="5" t="s">
        <v>76</v>
      </c>
      <c r="B459" s="5" t="s">
        <v>48</v>
      </c>
      <c r="C459" s="5" t="s">
        <v>1033</v>
      </c>
      <c r="D459" s="5" t="s">
        <v>256</v>
      </c>
    </row>
    <row r="460" spans="1:4" x14ac:dyDescent="0.2">
      <c r="A460" s="5" t="s">
        <v>77</v>
      </c>
      <c r="B460" s="5" t="s">
        <v>11</v>
      </c>
      <c r="C460" s="5" t="s">
        <v>1037</v>
      </c>
      <c r="D460" s="5" t="s">
        <v>259</v>
      </c>
    </row>
    <row r="461" spans="1:4" x14ac:dyDescent="0.2">
      <c r="A461" s="5" t="s">
        <v>77</v>
      </c>
      <c r="B461" s="5" t="s">
        <v>11</v>
      </c>
      <c r="C461" s="5" t="s">
        <v>1040</v>
      </c>
      <c r="D461" s="5" t="s">
        <v>259</v>
      </c>
    </row>
    <row r="462" spans="1:4" x14ac:dyDescent="0.2">
      <c r="A462" s="5" t="s">
        <v>77</v>
      </c>
      <c r="B462" s="5" t="s">
        <v>11</v>
      </c>
      <c r="C462" s="5" t="s">
        <v>1042</v>
      </c>
      <c r="D462" s="5" t="s">
        <v>259</v>
      </c>
    </row>
    <row r="463" spans="1:4" x14ac:dyDescent="0.2">
      <c r="A463" s="5" t="s">
        <v>77</v>
      </c>
      <c r="B463" s="5" t="s">
        <v>11</v>
      </c>
      <c r="C463" s="5" t="s">
        <v>1044</v>
      </c>
      <c r="D463" s="5" t="s">
        <v>259</v>
      </c>
    </row>
    <row r="464" spans="1:4" x14ac:dyDescent="0.2">
      <c r="A464" s="5" t="s">
        <v>77</v>
      </c>
      <c r="B464" s="5" t="s">
        <v>11</v>
      </c>
      <c r="C464" s="5" t="s">
        <v>1046</v>
      </c>
      <c r="D464" s="5" t="s">
        <v>259</v>
      </c>
    </row>
    <row r="465" spans="1:4" x14ac:dyDescent="0.2">
      <c r="A465" s="5" t="s">
        <v>77</v>
      </c>
      <c r="B465" s="5" t="s">
        <v>11</v>
      </c>
      <c r="C465" s="5" t="s">
        <v>1047</v>
      </c>
      <c r="D465" s="5" t="s">
        <v>259</v>
      </c>
    </row>
    <row r="466" spans="1:4" x14ac:dyDescent="0.2">
      <c r="A466" s="5" t="s">
        <v>78</v>
      </c>
      <c r="B466" s="5" t="s">
        <v>48</v>
      </c>
      <c r="C466" s="5" t="s">
        <v>1017</v>
      </c>
      <c r="D466" s="5" t="s">
        <v>262</v>
      </c>
    </row>
    <row r="467" spans="1:4" x14ac:dyDescent="0.2">
      <c r="A467" s="5" t="s">
        <v>78</v>
      </c>
      <c r="B467" s="5" t="s">
        <v>48</v>
      </c>
      <c r="C467" s="5" t="s">
        <v>1048</v>
      </c>
      <c r="D467" s="5" t="s">
        <v>262</v>
      </c>
    </row>
    <row r="468" spans="1:4" x14ac:dyDescent="0.2">
      <c r="A468" s="5" t="s">
        <v>78</v>
      </c>
      <c r="B468" s="5" t="s">
        <v>48</v>
      </c>
      <c r="C468" s="5" t="s">
        <v>1049</v>
      </c>
      <c r="D468" s="5" t="s">
        <v>262</v>
      </c>
    </row>
    <row r="469" spans="1:4" x14ac:dyDescent="0.2">
      <c r="A469" s="5" t="s">
        <v>78</v>
      </c>
      <c r="B469" s="5" t="s">
        <v>48</v>
      </c>
      <c r="C469" s="5" t="s">
        <v>1051</v>
      </c>
      <c r="D469" s="5" t="s">
        <v>262</v>
      </c>
    </row>
    <row r="470" spans="1:4" x14ac:dyDescent="0.2">
      <c r="A470" s="5" t="s">
        <v>78</v>
      </c>
      <c r="B470" s="5" t="s">
        <v>48</v>
      </c>
      <c r="C470" s="5" t="s">
        <v>1053</v>
      </c>
      <c r="D470" s="5" t="s">
        <v>262</v>
      </c>
    </row>
    <row r="471" spans="1:4" x14ac:dyDescent="0.2">
      <c r="A471" s="5" t="s">
        <v>78</v>
      </c>
      <c r="B471" s="5" t="s">
        <v>48</v>
      </c>
      <c r="C471" s="5" t="s">
        <v>1054</v>
      </c>
      <c r="D471" s="5" t="s">
        <v>262</v>
      </c>
    </row>
    <row r="472" spans="1:4" x14ac:dyDescent="0.2">
      <c r="A472" s="5" t="s">
        <v>78</v>
      </c>
      <c r="B472" s="5" t="s">
        <v>48</v>
      </c>
      <c r="C472" s="5" t="s">
        <v>1055</v>
      </c>
      <c r="D472" s="5" t="s">
        <v>262</v>
      </c>
    </row>
    <row r="473" spans="1:4" x14ac:dyDescent="0.2">
      <c r="A473" s="5" t="s">
        <v>78</v>
      </c>
      <c r="B473" s="5" t="s">
        <v>48</v>
      </c>
      <c r="C473" s="5" t="s">
        <v>340</v>
      </c>
      <c r="D473" s="5" t="s">
        <v>262</v>
      </c>
    </row>
    <row r="474" spans="1:4" x14ac:dyDescent="0.2">
      <c r="A474" s="5" t="s">
        <v>79</v>
      </c>
      <c r="B474" s="5" t="s">
        <v>48</v>
      </c>
      <c r="C474" s="5" t="s">
        <v>1056</v>
      </c>
      <c r="D474" s="5" t="s">
        <v>265</v>
      </c>
    </row>
    <row r="475" spans="1:4" x14ac:dyDescent="0.2">
      <c r="A475" s="5" t="s">
        <v>79</v>
      </c>
      <c r="B475" s="5" t="s">
        <v>48</v>
      </c>
      <c r="C475" s="5" t="s">
        <v>1058</v>
      </c>
      <c r="D475" s="5" t="s">
        <v>265</v>
      </c>
    </row>
    <row r="476" spans="1:4" x14ac:dyDescent="0.2">
      <c r="A476" s="5" t="s">
        <v>79</v>
      </c>
      <c r="B476" s="5" t="s">
        <v>48</v>
      </c>
      <c r="C476" s="5" t="s">
        <v>1059</v>
      </c>
      <c r="D476" s="5" t="s">
        <v>265</v>
      </c>
    </row>
    <row r="477" spans="1:4" x14ac:dyDescent="0.2">
      <c r="A477" s="5" t="s">
        <v>79</v>
      </c>
      <c r="B477" s="5" t="s">
        <v>48</v>
      </c>
      <c r="C477" s="5" t="s">
        <v>1060</v>
      </c>
      <c r="D477" s="5" t="s">
        <v>265</v>
      </c>
    </row>
    <row r="478" spans="1:4" x14ac:dyDescent="0.2">
      <c r="A478" s="5" t="s">
        <v>80</v>
      </c>
      <c r="B478" s="5" t="s">
        <v>50</v>
      </c>
      <c r="C478" s="5" t="s">
        <v>775</v>
      </c>
      <c r="D478" s="5" t="s">
        <v>265</v>
      </c>
    </row>
    <row r="479" spans="1:4" x14ac:dyDescent="0.2">
      <c r="A479" s="5" t="s">
        <v>80</v>
      </c>
      <c r="B479" s="5" t="s">
        <v>50</v>
      </c>
      <c r="C479" s="5" t="s">
        <v>1061</v>
      </c>
      <c r="D479" s="5" t="s">
        <v>265</v>
      </c>
    </row>
    <row r="480" spans="1:4" x14ac:dyDescent="0.2">
      <c r="A480" s="5" t="s">
        <v>80</v>
      </c>
      <c r="B480" s="5" t="s">
        <v>50</v>
      </c>
      <c r="C480" s="5" t="s">
        <v>1063</v>
      </c>
      <c r="D480" s="5" t="s">
        <v>265</v>
      </c>
    </row>
    <row r="481" spans="1:4" x14ac:dyDescent="0.2">
      <c r="A481" s="5" t="s">
        <v>80</v>
      </c>
      <c r="B481" s="5" t="s">
        <v>50</v>
      </c>
      <c r="C481" s="5" t="s">
        <v>953</v>
      </c>
      <c r="D481" s="5" t="s">
        <v>265</v>
      </c>
    </row>
    <row r="482" spans="1:4" x14ac:dyDescent="0.2">
      <c r="A482" s="5" t="s">
        <v>80</v>
      </c>
      <c r="B482" s="5" t="s">
        <v>50</v>
      </c>
      <c r="C482" s="5" t="s">
        <v>1066</v>
      </c>
      <c r="D482" s="5" t="s">
        <v>265</v>
      </c>
    </row>
    <row r="483" spans="1:4" x14ac:dyDescent="0.2">
      <c r="A483" s="5" t="s">
        <v>80</v>
      </c>
      <c r="B483" s="5" t="s">
        <v>50</v>
      </c>
      <c r="C483" s="5" t="s">
        <v>630</v>
      </c>
      <c r="D483" s="5" t="s">
        <v>265</v>
      </c>
    </row>
    <row r="484" spans="1:4" x14ac:dyDescent="0.2">
      <c r="A484" s="5" t="s">
        <v>80</v>
      </c>
      <c r="B484" s="5" t="s">
        <v>50</v>
      </c>
      <c r="C484" s="5" t="s">
        <v>1067</v>
      </c>
      <c r="D484" s="5" t="s">
        <v>265</v>
      </c>
    </row>
    <row r="485" spans="1:4" x14ac:dyDescent="0.2">
      <c r="A485" s="5" t="s">
        <v>80</v>
      </c>
      <c r="B485" s="5" t="s">
        <v>50</v>
      </c>
      <c r="C485" s="5" t="s">
        <v>648</v>
      </c>
      <c r="D485" s="5" t="s">
        <v>265</v>
      </c>
    </row>
    <row r="486" spans="1:4" x14ac:dyDescent="0.2">
      <c r="A486" s="5" t="s">
        <v>80</v>
      </c>
      <c r="B486" s="5" t="s">
        <v>50</v>
      </c>
      <c r="C486" s="5" t="s">
        <v>494</v>
      </c>
      <c r="D486" s="5" t="s">
        <v>265</v>
      </c>
    </row>
    <row r="487" spans="1:4" x14ac:dyDescent="0.2">
      <c r="A487" s="5" t="s">
        <v>80</v>
      </c>
      <c r="B487" s="5" t="s">
        <v>50</v>
      </c>
      <c r="C487" s="5" t="s">
        <v>1068</v>
      </c>
      <c r="D487" s="5" t="s">
        <v>265</v>
      </c>
    </row>
    <row r="488" spans="1:4" x14ac:dyDescent="0.2">
      <c r="A488" s="5" t="s">
        <v>80</v>
      </c>
      <c r="B488" s="5" t="s">
        <v>50</v>
      </c>
      <c r="C488" s="5" t="s">
        <v>1069</v>
      </c>
      <c r="D488" s="5" t="s">
        <v>265</v>
      </c>
    </row>
    <row r="489" spans="1:4" x14ac:dyDescent="0.2">
      <c r="A489" s="5" t="s">
        <v>81</v>
      </c>
      <c r="B489" s="5" t="s">
        <v>11</v>
      </c>
      <c r="C489" s="5" t="s">
        <v>470</v>
      </c>
      <c r="D489" s="5" t="s">
        <v>270</v>
      </c>
    </row>
    <row r="490" spans="1:4" x14ac:dyDescent="0.2">
      <c r="A490" s="5" t="s">
        <v>81</v>
      </c>
      <c r="B490" s="5" t="s">
        <v>11</v>
      </c>
      <c r="C490" s="5" t="s">
        <v>471</v>
      </c>
      <c r="D490" s="5" t="s">
        <v>270</v>
      </c>
    </row>
    <row r="491" spans="1:4" x14ac:dyDescent="0.2">
      <c r="A491" s="5" t="s">
        <v>81</v>
      </c>
      <c r="B491" s="5" t="s">
        <v>11</v>
      </c>
      <c r="C491" s="5" t="s">
        <v>472</v>
      </c>
      <c r="D491" s="5" t="s">
        <v>270</v>
      </c>
    </row>
    <row r="492" spans="1:4" x14ac:dyDescent="0.2">
      <c r="A492" s="5" t="s">
        <v>81</v>
      </c>
      <c r="B492" s="5" t="s">
        <v>11</v>
      </c>
      <c r="C492" s="5" t="s">
        <v>473</v>
      </c>
      <c r="D492" s="5" t="s">
        <v>270</v>
      </c>
    </row>
    <row r="493" spans="1:4" x14ac:dyDescent="0.2">
      <c r="A493" s="5" t="s">
        <v>81</v>
      </c>
      <c r="B493" s="5" t="s">
        <v>11</v>
      </c>
      <c r="C493" s="5" t="s">
        <v>476</v>
      </c>
      <c r="D493" s="5" t="s">
        <v>270</v>
      </c>
    </row>
    <row r="494" spans="1:4" x14ac:dyDescent="0.2">
      <c r="A494" s="5" t="s">
        <v>81</v>
      </c>
      <c r="B494" s="5" t="s">
        <v>11</v>
      </c>
      <c r="C494" s="5" t="s">
        <v>478</v>
      </c>
      <c r="D494" s="5" t="s">
        <v>270</v>
      </c>
    </row>
    <row r="495" spans="1:4" x14ac:dyDescent="0.2">
      <c r="A495" s="5" t="s">
        <v>81</v>
      </c>
      <c r="B495" s="5" t="s">
        <v>11</v>
      </c>
      <c r="C495" s="5" t="s">
        <v>1070</v>
      </c>
      <c r="D495" s="5" t="s">
        <v>270</v>
      </c>
    </row>
    <row r="496" spans="1:4" x14ac:dyDescent="0.2">
      <c r="A496" s="5" t="s">
        <v>81</v>
      </c>
      <c r="B496" s="5" t="s">
        <v>11</v>
      </c>
      <c r="C496" s="5" t="s">
        <v>1072</v>
      </c>
      <c r="D496" s="5" t="s">
        <v>270</v>
      </c>
    </row>
    <row r="497" spans="1:4" x14ac:dyDescent="0.2">
      <c r="A497" s="5" t="s">
        <v>81</v>
      </c>
      <c r="B497" s="5" t="s">
        <v>11</v>
      </c>
      <c r="C497" s="5" t="s">
        <v>1074</v>
      </c>
      <c r="D497" s="5" t="s">
        <v>270</v>
      </c>
    </row>
    <row r="498" spans="1:4" x14ac:dyDescent="0.2">
      <c r="A498" s="5" t="s">
        <v>81</v>
      </c>
      <c r="B498" s="5" t="s">
        <v>11</v>
      </c>
      <c r="C498" s="5" t="s">
        <v>1075</v>
      </c>
      <c r="D498" s="5" t="s">
        <v>270</v>
      </c>
    </row>
    <row r="499" spans="1:4" x14ac:dyDescent="0.2">
      <c r="A499" s="5" t="s">
        <v>81</v>
      </c>
      <c r="B499" s="5" t="s">
        <v>11</v>
      </c>
      <c r="C499" s="5" t="s">
        <v>487</v>
      </c>
      <c r="D499" s="5" t="s">
        <v>270</v>
      </c>
    </row>
    <row r="500" spans="1:4" x14ac:dyDescent="0.2">
      <c r="A500" s="5" t="s">
        <v>82</v>
      </c>
      <c r="B500" s="5" t="s">
        <v>11</v>
      </c>
      <c r="C500" s="5" t="s">
        <v>1077</v>
      </c>
      <c r="D500" s="5" t="s">
        <v>270</v>
      </c>
    </row>
    <row r="501" spans="1:4" x14ac:dyDescent="0.2">
      <c r="A501" s="5" t="s">
        <v>82</v>
      </c>
      <c r="B501" s="5" t="s">
        <v>11</v>
      </c>
      <c r="C501" s="5" t="s">
        <v>1082</v>
      </c>
      <c r="D501" s="5" t="s">
        <v>270</v>
      </c>
    </row>
    <row r="502" spans="1:4" x14ac:dyDescent="0.2">
      <c r="A502" s="5" t="s">
        <v>82</v>
      </c>
      <c r="B502" s="5" t="s">
        <v>11</v>
      </c>
      <c r="C502" s="5" t="s">
        <v>635</v>
      </c>
      <c r="D502" s="5" t="s">
        <v>270</v>
      </c>
    </row>
    <row r="503" spans="1:4" x14ac:dyDescent="0.2">
      <c r="A503" s="5" t="s">
        <v>82</v>
      </c>
      <c r="B503" s="5" t="s">
        <v>11</v>
      </c>
      <c r="C503" s="5" t="s">
        <v>422</v>
      </c>
      <c r="D503" s="5" t="s">
        <v>270</v>
      </c>
    </row>
    <row r="504" spans="1:4" x14ac:dyDescent="0.2">
      <c r="A504" s="5" t="s">
        <v>83</v>
      </c>
      <c r="B504" s="5" t="s">
        <v>11</v>
      </c>
      <c r="C504" s="5" t="s">
        <v>1077</v>
      </c>
      <c r="D504" s="5" t="s">
        <v>270</v>
      </c>
    </row>
    <row r="505" spans="1:4" x14ac:dyDescent="0.2">
      <c r="A505" s="5" t="s">
        <v>83</v>
      </c>
      <c r="B505" s="5" t="s">
        <v>11</v>
      </c>
      <c r="C505" s="5" t="s">
        <v>1085</v>
      </c>
      <c r="D505" s="5" t="s">
        <v>270</v>
      </c>
    </row>
    <row r="506" spans="1:4" x14ac:dyDescent="0.2">
      <c r="A506" s="5" t="s">
        <v>83</v>
      </c>
      <c r="B506" s="5" t="s">
        <v>11</v>
      </c>
      <c r="C506" s="5" t="s">
        <v>635</v>
      </c>
      <c r="D506" s="5" t="s">
        <v>270</v>
      </c>
    </row>
    <row r="507" spans="1:4" x14ac:dyDescent="0.2">
      <c r="A507" s="5" t="s">
        <v>83</v>
      </c>
      <c r="B507" s="5" t="s">
        <v>11</v>
      </c>
      <c r="C507" s="5" t="s">
        <v>1087</v>
      </c>
      <c r="D507" s="5" t="s">
        <v>270</v>
      </c>
    </row>
    <row r="508" spans="1:4" x14ac:dyDescent="0.2">
      <c r="A508" s="5" t="s">
        <v>84</v>
      </c>
      <c r="B508" s="5" t="s">
        <v>11</v>
      </c>
      <c r="C508" s="5" t="s">
        <v>1077</v>
      </c>
      <c r="D508" s="5" t="s">
        <v>270</v>
      </c>
    </row>
    <row r="509" spans="1:4" x14ac:dyDescent="0.2">
      <c r="A509" s="5" t="s">
        <v>84</v>
      </c>
      <c r="B509" s="5" t="s">
        <v>11</v>
      </c>
      <c r="C509" s="5" t="s">
        <v>1089</v>
      </c>
      <c r="D509" s="5" t="s">
        <v>270</v>
      </c>
    </row>
    <row r="510" spans="1:4" x14ac:dyDescent="0.2">
      <c r="A510" s="5" t="s">
        <v>84</v>
      </c>
      <c r="B510" s="5" t="s">
        <v>11</v>
      </c>
      <c r="C510" s="5" t="s">
        <v>1090</v>
      </c>
      <c r="D510" s="5" t="s">
        <v>270</v>
      </c>
    </row>
    <row r="511" spans="1:4" x14ac:dyDescent="0.2">
      <c r="A511" s="5" t="s">
        <v>84</v>
      </c>
      <c r="B511" s="5" t="s">
        <v>11</v>
      </c>
      <c r="C511" s="5" t="s">
        <v>1091</v>
      </c>
      <c r="D511" s="5" t="s">
        <v>270</v>
      </c>
    </row>
    <row r="512" spans="1:4" x14ac:dyDescent="0.2">
      <c r="A512" s="5" t="s">
        <v>84</v>
      </c>
      <c r="B512" s="5" t="s">
        <v>11</v>
      </c>
      <c r="C512" s="5" t="s">
        <v>590</v>
      </c>
      <c r="D512" s="5" t="s">
        <v>270</v>
      </c>
    </row>
    <row r="513" spans="1:4" x14ac:dyDescent="0.2">
      <c r="A513" s="5" t="s">
        <v>84</v>
      </c>
      <c r="B513" s="5" t="s">
        <v>11</v>
      </c>
      <c r="C513" s="5" t="s">
        <v>635</v>
      </c>
      <c r="D513" s="5" t="s">
        <v>270</v>
      </c>
    </row>
    <row r="514" spans="1:4" x14ac:dyDescent="0.2">
      <c r="A514" s="5" t="s">
        <v>85</v>
      </c>
      <c r="B514" s="5" t="s">
        <v>11</v>
      </c>
      <c r="C514" s="5" t="s">
        <v>1092</v>
      </c>
      <c r="D514" s="5" t="s">
        <v>278</v>
      </c>
    </row>
    <row r="515" spans="1:4" x14ac:dyDescent="0.2">
      <c r="A515" s="5" t="s">
        <v>85</v>
      </c>
      <c r="B515" s="5" t="s">
        <v>11</v>
      </c>
      <c r="C515" s="5" t="s">
        <v>648</v>
      </c>
      <c r="D515" s="5" t="s">
        <v>278</v>
      </c>
    </row>
    <row r="516" spans="1:4" x14ac:dyDescent="0.2">
      <c r="A516" s="5" t="s">
        <v>85</v>
      </c>
      <c r="B516" s="5" t="s">
        <v>11</v>
      </c>
      <c r="C516" s="5" t="s">
        <v>1095</v>
      </c>
      <c r="D516" s="5" t="s">
        <v>278</v>
      </c>
    </row>
    <row r="517" spans="1:4" x14ac:dyDescent="0.2">
      <c r="A517" s="5" t="s">
        <v>85</v>
      </c>
      <c r="B517" s="5" t="s">
        <v>11</v>
      </c>
      <c r="C517" s="5" t="s">
        <v>1096</v>
      </c>
      <c r="D517" s="5" t="s">
        <v>278</v>
      </c>
    </row>
    <row r="518" spans="1:4" x14ac:dyDescent="0.2">
      <c r="A518" s="5" t="s">
        <v>85</v>
      </c>
      <c r="B518" s="5" t="s">
        <v>11</v>
      </c>
      <c r="C518" s="5" t="s">
        <v>1097</v>
      </c>
      <c r="D518" s="5" t="s">
        <v>278</v>
      </c>
    </row>
    <row r="519" spans="1:4" x14ac:dyDescent="0.2">
      <c r="A519" s="5" t="s">
        <v>85</v>
      </c>
      <c r="B519" s="5" t="s">
        <v>11</v>
      </c>
      <c r="C519" s="5" t="s">
        <v>1098</v>
      </c>
      <c r="D519" s="5" t="s">
        <v>278</v>
      </c>
    </row>
    <row r="520" spans="1:4" x14ac:dyDescent="0.2">
      <c r="A520" s="5" t="s">
        <v>85</v>
      </c>
      <c r="B520" s="5" t="s">
        <v>11</v>
      </c>
      <c r="C520" s="5" t="s">
        <v>1100</v>
      </c>
      <c r="D520" s="5" t="s">
        <v>278</v>
      </c>
    </row>
    <row r="521" spans="1:4" x14ac:dyDescent="0.2">
      <c r="A521" s="5" t="s">
        <v>85</v>
      </c>
      <c r="B521" s="5" t="s">
        <v>11</v>
      </c>
      <c r="C521" s="5" t="s">
        <v>1102</v>
      </c>
      <c r="D521" s="5" t="s">
        <v>278</v>
      </c>
    </row>
    <row r="522" spans="1:4" x14ac:dyDescent="0.2">
      <c r="A522" s="5" t="s">
        <v>85</v>
      </c>
      <c r="B522" s="5" t="s">
        <v>11</v>
      </c>
      <c r="C522" s="5" t="s">
        <v>494</v>
      </c>
      <c r="D522" s="5" t="s">
        <v>278</v>
      </c>
    </row>
    <row r="523" spans="1:4" x14ac:dyDescent="0.2">
      <c r="A523" s="5" t="s">
        <v>86</v>
      </c>
      <c r="B523" s="5" t="s">
        <v>17</v>
      </c>
      <c r="C523" s="5" t="s">
        <v>1104</v>
      </c>
      <c r="D523" s="5" t="s">
        <v>281</v>
      </c>
    </row>
    <row r="524" spans="1:4" x14ac:dyDescent="0.2">
      <c r="A524" s="5" t="s">
        <v>86</v>
      </c>
      <c r="B524" s="5" t="s">
        <v>17</v>
      </c>
      <c r="C524" s="5" t="s">
        <v>1105</v>
      </c>
      <c r="D524" s="5" t="s">
        <v>281</v>
      </c>
    </row>
    <row r="525" spans="1:4" x14ac:dyDescent="0.2">
      <c r="A525" s="5" t="s">
        <v>86</v>
      </c>
      <c r="B525" s="5" t="s">
        <v>17</v>
      </c>
      <c r="C525" s="5" t="s">
        <v>1106</v>
      </c>
      <c r="D525" s="5" t="s">
        <v>281</v>
      </c>
    </row>
    <row r="526" spans="1:4" x14ac:dyDescent="0.2">
      <c r="A526" s="5" t="s">
        <v>86</v>
      </c>
      <c r="B526" s="5" t="s">
        <v>17</v>
      </c>
      <c r="C526" s="5" t="s">
        <v>1107</v>
      </c>
      <c r="D526" s="5" t="s">
        <v>281</v>
      </c>
    </row>
    <row r="527" spans="1:4" x14ac:dyDescent="0.2">
      <c r="A527" s="5" t="s">
        <v>86</v>
      </c>
      <c r="B527" s="5" t="s">
        <v>17</v>
      </c>
      <c r="C527" s="5" t="s">
        <v>1108</v>
      </c>
      <c r="D527" s="5" t="s">
        <v>281</v>
      </c>
    </row>
    <row r="528" spans="1:4" x14ac:dyDescent="0.2">
      <c r="A528" s="5" t="s">
        <v>86</v>
      </c>
      <c r="B528" s="5" t="s">
        <v>17</v>
      </c>
      <c r="C528" s="5" t="s">
        <v>1110</v>
      </c>
      <c r="D528" s="5" t="s">
        <v>281</v>
      </c>
    </row>
    <row r="529" spans="1:4" x14ac:dyDescent="0.2">
      <c r="A529" s="5" t="s">
        <v>86</v>
      </c>
      <c r="B529" s="5" t="s">
        <v>17</v>
      </c>
      <c r="C529" s="5" t="s">
        <v>1111</v>
      </c>
      <c r="D529" s="5" t="s">
        <v>281</v>
      </c>
    </row>
    <row r="530" spans="1:4" x14ac:dyDescent="0.2">
      <c r="A530" s="5" t="s">
        <v>86</v>
      </c>
      <c r="B530" s="5" t="s">
        <v>17</v>
      </c>
      <c r="C530" s="5" t="s">
        <v>487</v>
      </c>
      <c r="D530" s="5" t="s">
        <v>281</v>
      </c>
    </row>
    <row r="531" spans="1:4" x14ac:dyDescent="0.2">
      <c r="A531" s="5" t="s">
        <v>87</v>
      </c>
      <c r="B531" s="5" t="s">
        <v>63</v>
      </c>
      <c r="C531" s="5" t="s">
        <v>1112</v>
      </c>
      <c r="D531" s="5" t="s">
        <v>284</v>
      </c>
    </row>
    <row r="532" spans="1:4" x14ac:dyDescent="0.2">
      <c r="A532" s="5" t="s">
        <v>87</v>
      </c>
      <c r="B532" s="5" t="s">
        <v>63</v>
      </c>
      <c r="C532" s="5" t="s">
        <v>1114</v>
      </c>
      <c r="D532" s="5" t="s">
        <v>284</v>
      </c>
    </row>
    <row r="533" spans="1:4" x14ac:dyDescent="0.2">
      <c r="A533" s="5" t="s">
        <v>87</v>
      </c>
      <c r="B533" s="5" t="s">
        <v>63</v>
      </c>
      <c r="C533" s="5" t="s">
        <v>797</v>
      </c>
      <c r="D533" s="5" t="s">
        <v>284</v>
      </c>
    </row>
    <row r="534" spans="1:4" x14ac:dyDescent="0.2">
      <c r="A534" s="5" t="s">
        <v>87</v>
      </c>
      <c r="B534" s="5" t="s">
        <v>63</v>
      </c>
      <c r="C534" s="5" t="s">
        <v>1115</v>
      </c>
      <c r="D534" s="5" t="s">
        <v>284</v>
      </c>
    </row>
    <row r="535" spans="1:4" x14ac:dyDescent="0.2">
      <c r="A535" s="5" t="s">
        <v>87</v>
      </c>
      <c r="B535" s="5" t="s">
        <v>63</v>
      </c>
      <c r="C535" s="5" t="s">
        <v>361</v>
      </c>
      <c r="D535" s="5" t="s">
        <v>284</v>
      </c>
    </row>
    <row r="536" spans="1:4" x14ac:dyDescent="0.2">
      <c r="A536" s="5" t="s">
        <v>87</v>
      </c>
      <c r="B536" s="5" t="s">
        <v>63</v>
      </c>
      <c r="C536" s="5" t="s">
        <v>1116</v>
      </c>
      <c r="D536" s="5" t="s">
        <v>284</v>
      </c>
    </row>
  </sheetData>
  <autoFilter ref="A1:D53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60" customWidth="1"/>
    <col min="3" max="3" width="50" customWidth="1"/>
  </cols>
  <sheetData>
    <row r="1" spans="1:3" x14ac:dyDescent="0.2">
      <c r="A1" s="34" t="s">
        <v>1378</v>
      </c>
      <c r="B1" s="34" t="s">
        <v>1379</v>
      </c>
      <c r="C1" s="34" t="s">
        <v>9</v>
      </c>
    </row>
    <row r="2" spans="1:3" ht="28" x14ac:dyDescent="0.2">
      <c r="A2" s="9" t="s">
        <v>1380</v>
      </c>
      <c r="B2" s="9" t="s">
        <v>1381</v>
      </c>
      <c r="C2" s="9" t="s">
        <v>1382</v>
      </c>
    </row>
    <row r="3" spans="1:3" ht="28" x14ac:dyDescent="0.2">
      <c r="A3" s="9" t="s">
        <v>1383</v>
      </c>
      <c r="B3" s="9" t="s">
        <v>1384</v>
      </c>
      <c r="C3" s="9" t="s">
        <v>1385</v>
      </c>
    </row>
    <row r="4" spans="1:3" ht="28" x14ac:dyDescent="0.2">
      <c r="A4" s="9" t="s">
        <v>1386</v>
      </c>
      <c r="B4" s="9" t="s">
        <v>1387</v>
      </c>
      <c r="C4" s="9" t="s">
        <v>1388</v>
      </c>
    </row>
    <row r="5" spans="1:3" ht="28" x14ac:dyDescent="0.2">
      <c r="A5" s="9" t="s">
        <v>1389</v>
      </c>
      <c r="B5" s="9" t="s">
        <v>1390</v>
      </c>
      <c r="C5" s="9" t="s">
        <v>1391</v>
      </c>
    </row>
    <row r="6" spans="1:3" ht="28" x14ac:dyDescent="0.2">
      <c r="A6" s="9" t="s">
        <v>1392</v>
      </c>
      <c r="B6" s="9" t="s">
        <v>1393</v>
      </c>
      <c r="C6" s="9" t="s">
        <v>1394</v>
      </c>
    </row>
    <row r="7" spans="1:3" ht="28" x14ac:dyDescent="0.2">
      <c r="A7" s="9" t="s">
        <v>1395</v>
      </c>
      <c r="B7" s="9" t="s">
        <v>1396</v>
      </c>
      <c r="C7" s="9" t="s">
        <v>1397</v>
      </c>
    </row>
    <row r="8" spans="1:3" ht="28" x14ac:dyDescent="0.2">
      <c r="A8" s="9" t="s">
        <v>1398</v>
      </c>
      <c r="B8" s="9" t="s">
        <v>1399</v>
      </c>
      <c r="C8" s="9" t="s">
        <v>1400</v>
      </c>
    </row>
    <row r="9" spans="1:3" ht="28" x14ac:dyDescent="0.2">
      <c r="A9" s="9" t="s">
        <v>1401</v>
      </c>
      <c r="B9" s="9" t="s">
        <v>1402</v>
      </c>
      <c r="C9" s="9" t="s">
        <v>1403</v>
      </c>
    </row>
    <row r="10" spans="1:3" ht="28" x14ac:dyDescent="0.2">
      <c r="A10" s="9" t="s">
        <v>1404</v>
      </c>
      <c r="B10" s="9" t="s">
        <v>1405</v>
      </c>
      <c r="C10" s="9" t="s">
        <v>1406</v>
      </c>
    </row>
    <row r="11" spans="1:3" ht="28" x14ac:dyDescent="0.2">
      <c r="A11" s="9" t="s">
        <v>1407</v>
      </c>
      <c r="B11" s="9" t="s">
        <v>1402</v>
      </c>
      <c r="C11" s="9" t="s">
        <v>1408</v>
      </c>
    </row>
    <row r="12" spans="1:3" ht="28" x14ac:dyDescent="0.2">
      <c r="A12" s="9" t="s">
        <v>1409</v>
      </c>
      <c r="B12" s="9" t="s">
        <v>1410</v>
      </c>
      <c r="C12" s="9" t="s">
        <v>1411</v>
      </c>
    </row>
    <row r="13" spans="1:3" ht="28" x14ac:dyDescent="0.2">
      <c r="A13" s="9" t="s">
        <v>1412</v>
      </c>
      <c r="B13" s="9" t="s">
        <v>1402</v>
      </c>
      <c r="C13" s="9" t="s">
        <v>1413</v>
      </c>
    </row>
    <row r="14" spans="1:3" ht="28" x14ac:dyDescent="0.2">
      <c r="A14" s="9" t="s">
        <v>1414</v>
      </c>
      <c r="B14" s="9" t="s">
        <v>1402</v>
      </c>
      <c r="C14" s="9" t="s">
        <v>1415</v>
      </c>
    </row>
    <row r="15" spans="1:3" ht="28" x14ac:dyDescent="0.2">
      <c r="A15" s="9" t="s">
        <v>1416</v>
      </c>
      <c r="B15" s="9" t="s">
        <v>1417</v>
      </c>
      <c r="C15" s="9" t="s">
        <v>1418</v>
      </c>
    </row>
    <row r="16" spans="1:3" x14ac:dyDescent="0.2">
      <c r="A16" s="9"/>
      <c r="B16" s="9"/>
      <c r="C16" s="9"/>
    </row>
    <row r="17" spans="1:3" ht="98" x14ac:dyDescent="0.2">
      <c r="A17" s="9" t="s">
        <v>1419</v>
      </c>
      <c r="B17" s="9"/>
      <c r="C17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Recipe Costs</vt:lpstr>
      <vt:lpstr>Recipes</vt:lpstr>
      <vt:lpstr>Ingredient Costing</vt:lpstr>
      <vt:lpstr>Woolworths Products</vt:lpstr>
      <vt:lpstr>Notes &amp; Assumptions</vt:lpstr>
      <vt:lpstr>Ingredient list</vt:lpstr>
      <vt:lpstr>Not 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Sabrina Van Rensburg</cp:lastModifiedBy>
  <cp:revision>0</cp:revision>
  <dcterms:created xsi:type="dcterms:W3CDTF">2026-10-06T08:48:52Z</dcterms:created>
  <dcterms:modified xsi:type="dcterms:W3CDTF">2026-10-06T10:45:21Z</dcterms:modified>
  <dc:language>en-US</dc:language>
</cp:coreProperties>
</file>